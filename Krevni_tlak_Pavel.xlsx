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pavel.hlousek/Documents/Claude/"/>
    </mc:Choice>
  </mc:AlternateContent>
  <xr:revisionPtr revIDLastSave="0" documentId="13_ncr:1_{3AF7D49E-910E-8142-8025-3A3086FD703A}" xr6:coauthVersionLast="47" xr6:coauthVersionMax="47" xr10:uidLastSave="{00000000-0000-0000-0000-000000000000}"/>
  <bookViews>
    <workbookView xWindow="0" yWindow="660" windowWidth="24100" windowHeight="15380" tabRatio="500" xr2:uid="{00000000-000D-0000-FFFF-FFFF00000000}"/>
  </bookViews>
  <sheets>
    <sheet name="Denní log" sheetId="1" r:id="rId1"/>
    <sheet name="Statistiky" sheetId="2" r:id="rId2"/>
    <sheet name="Graf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" i="1" l="1"/>
  <c r="I6" i="1"/>
  <c r="J6" i="1"/>
  <c r="D14" i="2"/>
  <c r="C14" i="2"/>
  <c r="B14" i="2"/>
  <c r="D13" i="2"/>
  <c r="C13" i="2"/>
  <c r="B13" i="2"/>
  <c r="D7" i="2"/>
  <c r="C7" i="2"/>
  <c r="B7" i="2"/>
  <c r="D6" i="2"/>
  <c r="C6" i="2"/>
  <c r="B6" i="2"/>
  <c r="T94" i="1"/>
  <c r="S94" i="1"/>
  <c r="R94" i="1"/>
  <c r="U94" i="1" s="1"/>
  <c r="J94" i="1"/>
  <c r="I94" i="1"/>
  <c r="H94" i="1"/>
  <c r="T93" i="1"/>
  <c r="S93" i="1"/>
  <c r="R93" i="1"/>
  <c r="U93" i="1" s="1"/>
  <c r="J93" i="1"/>
  <c r="I93" i="1"/>
  <c r="H93" i="1"/>
  <c r="T92" i="1"/>
  <c r="S92" i="1"/>
  <c r="U92" i="1" s="1"/>
  <c r="R92" i="1"/>
  <c r="J92" i="1"/>
  <c r="I92" i="1"/>
  <c r="H92" i="1"/>
  <c r="T91" i="1"/>
  <c r="S91" i="1"/>
  <c r="R91" i="1"/>
  <c r="J91" i="1"/>
  <c r="I91" i="1"/>
  <c r="H91" i="1"/>
  <c r="K91" i="1" s="1"/>
  <c r="T90" i="1"/>
  <c r="S90" i="1"/>
  <c r="R90" i="1"/>
  <c r="U90" i="1" s="1"/>
  <c r="K90" i="1"/>
  <c r="J90" i="1"/>
  <c r="I90" i="1"/>
  <c r="H90" i="1"/>
  <c r="T89" i="1"/>
  <c r="S89" i="1"/>
  <c r="U89" i="1" s="1"/>
  <c r="R89" i="1"/>
  <c r="J89" i="1"/>
  <c r="I89" i="1"/>
  <c r="H89" i="1"/>
  <c r="K89" i="1" s="1"/>
  <c r="T88" i="1"/>
  <c r="S88" i="1"/>
  <c r="R88" i="1"/>
  <c r="J88" i="1"/>
  <c r="I88" i="1"/>
  <c r="K88" i="1" s="1"/>
  <c r="H88" i="1"/>
  <c r="T87" i="1"/>
  <c r="S87" i="1"/>
  <c r="R87" i="1"/>
  <c r="U87" i="1" s="1"/>
  <c r="J87" i="1"/>
  <c r="I87" i="1"/>
  <c r="H87" i="1"/>
  <c r="T86" i="1"/>
  <c r="S86" i="1"/>
  <c r="R86" i="1"/>
  <c r="J86" i="1"/>
  <c r="I86" i="1"/>
  <c r="H86" i="1"/>
  <c r="K86" i="1" s="1"/>
  <c r="U85" i="1"/>
  <c r="T85" i="1"/>
  <c r="S85" i="1"/>
  <c r="R85" i="1"/>
  <c r="K85" i="1"/>
  <c r="J85" i="1"/>
  <c r="I85" i="1"/>
  <c r="H85" i="1"/>
  <c r="T84" i="1"/>
  <c r="S84" i="1"/>
  <c r="R84" i="1"/>
  <c r="J84" i="1"/>
  <c r="I84" i="1"/>
  <c r="H84" i="1"/>
  <c r="K84" i="1" s="1"/>
  <c r="T83" i="1"/>
  <c r="S83" i="1"/>
  <c r="R83" i="1"/>
  <c r="J83" i="1"/>
  <c r="I83" i="1"/>
  <c r="H83" i="1"/>
  <c r="K83" i="1" s="1"/>
  <c r="U82" i="1"/>
  <c r="T82" i="1"/>
  <c r="S82" i="1"/>
  <c r="R82" i="1"/>
  <c r="J82" i="1"/>
  <c r="I82" i="1"/>
  <c r="H82" i="1"/>
  <c r="T81" i="1"/>
  <c r="S81" i="1"/>
  <c r="R81" i="1"/>
  <c r="U81" i="1" s="1"/>
  <c r="J81" i="1"/>
  <c r="I81" i="1"/>
  <c r="H81" i="1"/>
  <c r="K81" i="1" s="1"/>
  <c r="U80" i="1"/>
  <c r="T80" i="1"/>
  <c r="S80" i="1"/>
  <c r="R80" i="1"/>
  <c r="J80" i="1"/>
  <c r="I80" i="1"/>
  <c r="H80" i="1"/>
  <c r="K80" i="1" s="1"/>
  <c r="T79" i="1"/>
  <c r="S79" i="1"/>
  <c r="R79" i="1"/>
  <c r="J79" i="1"/>
  <c r="I79" i="1"/>
  <c r="H79" i="1"/>
  <c r="K79" i="1" s="1"/>
  <c r="T78" i="1"/>
  <c r="S78" i="1"/>
  <c r="R78" i="1"/>
  <c r="U78" i="1" s="1"/>
  <c r="K78" i="1"/>
  <c r="J78" i="1"/>
  <c r="I78" i="1"/>
  <c r="H78" i="1"/>
  <c r="U77" i="1"/>
  <c r="T77" i="1"/>
  <c r="S77" i="1"/>
  <c r="R77" i="1"/>
  <c r="J77" i="1"/>
  <c r="I77" i="1"/>
  <c r="H77" i="1"/>
  <c r="T76" i="1"/>
  <c r="S76" i="1"/>
  <c r="R76" i="1"/>
  <c r="U76" i="1" s="1"/>
  <c r="J76" i="1"/>
  <c r="I76" i="1"/>
  <c r="H76" i="1"/>
  <c r="K76" i="1" s="1"/>
  <c r="T75" i="1"/>
  <c r="S75" i="1"/>
  <c r="R75" i="1"/>
  <c r="U75" i="1" s="1"/>
  <c r="J75" i="1"/>
  <c r="I75" i="1"/>
  <c r="H75" i="1"/>
  <c r="K75" i="1" s="1"/>
  <c r="T74" i="1"/>
  <c r="S74" i="1"/>
  <c r="R74" i="1"/>
  <c r="J74" i="1"/>
  <c r="I74" i="1"/>
  <c r="H74" i="1"/>
  <c r="K74" i="1" s="1"/>
  <c r="T73" i="1"/>
  <c r="S73" i="1"/>
  <c r="R73" i="1"/>
  <c r="U73" i="1" s="1"/>
  <c r="K73" i="1"/>
  <c r="J73" i="1"/>
  <c r="I73" i="1"/>
  <c r="H73" i="1"/>
  <c r="T72" i="1"/>
  <c r="S72" i="1"/>
  <c r="U72" i="1" s="1"/>
  <c r="R72" i="1"/>
  <c r="J72" i="1"/>
  <c r="I72" i="1"/>
  <c r="H72" i="1"/>
  <c r="T71" i="1"/>
  <c r="S71" i="1"/>
  <c r="R71" i="1"/>
  <c r="U71" i="1" s="1"/>
  <c r="J71" i="1"/>
  <c r="I71" i="1"/>
  <c r="H71" i="1"/>
  <c r="K71" i="1" s="1"/>
  <c r="T70" i="1"/>
  <c r="S70" i="1"/>
  <c r="R70" i="1"/>
  <c r="U70" i="1" s="1"/>
  <c r="J70" i="1"/>
  <c r="I70" i="1"/>
  <c r="H70" i="1"/>
  <c r="K70" i="1" s="1"/>
  <c r="T69" i="1"/>
  <c r="S69" i="1"/>
  <c r="U69" i="1" s="1"/>
  <c r="R69" i="1"/>
  <c r="J69" i="1"/>
  <c r="I69" i="1"/>
  <c r="H69" i="1"/>
  <c r="K69" i="1" s="1"/>
  <c r="T68" i="1"/>
  <c r="S68" i="1"/>
  <c r="R68" i="1"/>
  <c r="U68" i="1" s="1"/>
  <c r="J68" i="1"/>
  <c r="I68" i="1"/>
  <c r="K68" i="1" s="1"/>
  <c r="H68" i="1"/>
  <c r="T67" i="1"/>
  <c r="S67" i="1"/>
  <c r="U67" i="1" s="1"/>
  <c r="R67" i="1"/>
  <c r="J67" i="1"/>
  <c r="I67" i="1"/>
  <c r="H67" i="1"/>
  <c r="T66" i="1"/>
  <c r="S66" i="1"/>
  <c r="R66" i="1"/>
  <c r="J66" i="1"/>
  <c r="I66" i="1"/>
  <c r="H66" i="1"/>
  <c r="K66" i="1" s="1"/>
  <c r="T65" i="1"/>
  <c r="S65" i="1"/>
  <c r="R65" i="1"/>
  <c r="U65" i="1" s="1"/>
  <c r="K65" i="1"/>
  <c r="J65" i="1"/>
  <c r="I65" i="1"/>
  <c r="H65" i="1"/>
  <c r="T64" i="1"/>
  <c r="S64" i="1"/>
  <c r="U64" i="1" s="1"/>
  <c r="R64" i="1"/>
  <c r="J64" i="1"/>
  <c r="I64" i="1"/>
  <c r="H64" i="1"/>
  <c r="K64" i="1" s="1"/>
  <c r="T63" i="1"/>
  <c r="S63" i="1"/>
  <c r="R63" i="1"/>
  <c r="J63" i="1"/>
  <c r="I63" i="1"/>
  <c r="K63" i="1" s="1"/>
  <c r="H63" i="1"/>
  <c r="T62" i="1"/>
  <c r="S62" i="1"/>
  <c r="R62" i="1"/>
  <c r="U62" i="1" s="1"/>
  <c r="J62" i="1"/>
  <c r="I62" i="1"/>
  <c r="H62" i="1"/>
  <c r="T61" i="1"/>
  <c r="S61" i="1"/>
  <c r="R61" i="1"/>
  <c r="J61" i="1"/>
  <c r="I61" i="1"/>
  <c r="H61" i="1"/>
  <c r="K61" i="1" s="1"/>
  <c r="U60" i="1"/>
  <c r="T60" i="1"/>
  <c r="S60" i="1"/>
  <c r="R60" i="1"/>
  <c r="K60" i="1"/>
  <c r="J60" i="1"/>
  <c r="I60" i="1"/>
  <c r="H60" i="1"/>
  <c r="T59" i="1"/>
  <c r="S59" i="1"/>
  <c r="R59" i="1"/>
  <c r="J59" i="1"/>
  <c r="I59" i="1"/>
  <c r="H59" i="1"/>
  <c r="K59" i="1" s="1"/>
  <c r="T58" i="1"/>
  <c r="S58" i="1"/>
  <c r="R58" i="1"/>
  <c r="J58" i="1"/>
  <c r="I58" i="1"/>
  <c r="H58" i="1"/>
  <c r="K58" i="1" s="1"/>
  <c r="U57" i="1"/>
  <c r="T57" i="1"/>
  <c r="S57" i="1"/>
  <c r="R57" i="1"/>
  <c r="J57" i="1"/>
  <c r="I57" i="1"/>
  <c r="H57" i="1"/>
  <c r="T56" i="1"/>
  <c r="S56" i="1"/>
  <c r="R56" i="1"/>
  <c r="U56" i="1" s="1"/>
  <c r="J56" i="1"/>
  <c r="I56" i="1"/>
  <c r="H56" i="1"/>
  <c r="K56" i="1" s="1"/>
  <c r="U55" i="1"/>
  <c r="T55" i="1"/>
  <c r="S55" i="1"/>
  <c r="R55" i="1"/>
  <c r="J55" i="1"/>
  <c r="I55" i="1"/>
  <c r="H55" i="1"/>
  <c r="K55" i="1" s="1"/>
  <c r="T54" i="1"/>
  <c r="S54" i="1"/>
  <c r="R54" i="1"/>
  <c r="J54" i="1"/>
  <c r="I54" i="1"/>
  <c r="H54" i="1"/>
  <c r="K54" i="1" s="1"/>
  <c r="T53" i="1"/>
  <c r="S53" i="1"/>
  <c r="R53" i="1"/>
  <c r="U53" i="1" s="1"/>
  <c r="K53" i="1"/>
  <c r="J53" i="1"/>
  <c r="I53" i="1"/>
  <c r="H53" i="1"/>
  <c r="U52" i="1"/>
  <c r="T52" i="1"/>
  <c r="S52" i="1"/>
  <c r="R52" i="1"/>
  <c r="J52" i="1"/>
  <c r="I52" i="1"/>
  <c r="H52" i="1"/>
  <c r="T51" i="1"/>
  <c r="S51" i="1"/>
  <c r="R51" i="1"/>
  <c r="U51" i="1" s="1"/>
  <c r="J51" i="1"/>
  <c r="I51" i="1"/>
  <c r="H51" i="1"/>
  <c r="K51" i="1" s="1"/>
  <c r="T50" i="1"/>
  <c r="S50" i="1"/>
  <c r="R50" i="1"/>
  <c r="U50" i="1" s="1"/>
  <c r="J50" i="1"/>
  <c r="I50" i="1"/>
  <c r="H50" i="1"/>
  <c r="K50" i="1" s="1"/>
  <c r="T49" i="1"/>
  <c r="S49" i="1"/>
  <c r="R49" i="1"/>
  <c r="J49" i="1"/>
  <c r="I49" i="1"/>
  <c r="H49" i="1"/>
  <c r="K49" i="1" s="1"/>
  <c r="T48" i="1"/>
  <c r="S48" i="1"/>
  <c r="R48" i="1"/>
  <c r="U48" i="1" s="1"/>
  <c r="K48" i="1"/>
  <c r="J48" i="1"/>
  <c r="I48" i="1"/>
  <c r="H48" i="1"/>
  <c r="T47" i="1"/>
  <c r="S47" i="1"/>
  <c r="U47" i="1" s="1"/>
  <c r="R47" i="1"/>
  <c r="J47" i="1"/>
  <c r="I47" i="1"/>
  <c r="H47" i="1"/>
  <c r="T46" i="1"/>
  <c r="S46" i="1"/>
  <c r="R46" i="1"/>
  <c r="U46" i="1" s="1"/>
  <c r="J46" i="1"/>
  <c r="I46" i="1"/>
  <c r="H46" i="1"/>
  <c r="K46" i="1" s="1"/>
  <c r="T45" i="1"/>
  <c r="S45" i="1"/>
  <c r="R45" i="1"/>
  <c r="U45" i="1" s="1"/>
  <c r="J45" i="1"/>
  <c r="I45" i="1"/>
  <c r="H45" i="1"/>
  <c r="K45" i="1" s="1"/>
  <c r="T44" i="1"/>
  <c r="S44" i="1"/>
  <c r="U44" i="1" s="1"/>
  <c r="R44" i="1"/>
  <c r="J44" i="1"/>
  <c r="I44" i="1"/>
  <c r="H44" i="1"/>
  <c r="K44" i="1" s="1"/>
  <c r="T43" i="1"/>
  <c r="S43" i="1"/>
  <c r="R43" i="1"/>
  <c r="U43" i="1" s="1"/>
  <c r="J43" i="1"/>
  <c r="I43" i="1"/>
  <c r="K43" i="1" s="1"/>
  <c r="H43" i="1"/>
  <c r="T42" i="1"/>
  <c r="S42" i="1"/>
  <c r="U42" i="1" s="1"/>
  <c r="R42" i="1"/>
  <c r="J42" i="1"/>
  <c r="I42" i="1"/>
  <c r="H42" i="1"/>
  <c r="T41" i="1"/>
  <c r="S41" i="1"/>
  <c r="R41" i="1"/>
  <c r="J41" i="1"/>
  <c r="I41" i="1"/>
  <c r="H41" i="1"/>
  <c r="K41" i="1" s="1"/>
  <c r="T40" i="1"/>
  <c r="S40" i="1"/>
  <c r="R40" i="1"/>
  <c r="U40" i="1" s="1"/>
  <c r="K40" i="1"/>
  <c r="J40" i="1"/>
  <c r="I40" i="1"/>
  <c r="H40" i="1"/>
  <c r="T39" i="1"/>
  <c r="S39" i="1"/>
  <c r="U39" i="1" s="1"/>
  <c r="R39" i="1"/>
  <c r="J39" i="1"/>
  <c r="I39" i="1"/>
  <c r="H39" i="1"/>
  <c r="K39" i="1" s="1"/>
  <c r="T38" i="1"/>
  <c r="S38" i="1"/>
  <c r="R38" i="1"/>
  <c r="J38" i="1"/>
  <c r="I38" i="1"/>
  <c r="K38" i="1" s="1"/>
  <c r="H38" i="1"/>
  <c r="T37" i="1"/>
  <c r="S37" i="1"/>
  <c r="R37" i="1"/>
  <c r="U37" i="1" s="1"/>
  <c r="J37" i="1"/>
  <c r="I37" i="1"/>
  <c r="H37" i="1"/>
  <c r="T36" i="1"/>
  <c r="S36" i="1"/>
  <c r="R36" i="1"/>
  <c r="J36" i="1"/>
  <c r="I36" i="1"/>
  <c r="H36" i="1"/>
  <c r="K36" i="1" s="1"/>
  <c r="T35" i="1"/>
  <c r="S35" i="1"/>
  <c r="R35" i="1"/>
  <c r="J35" i="1"/>
  <c r="I35" i="1"/>
  <c r="K35" i="1" s="1"/>
  <c r="H35" i="1"/>
  <c r="T34" i="1"/>
  <c r="S34" i="1"/>
  <c r="R34" i="1"/>
  <c r="J34" i="1"/>
  <c r="I34" i="1"/>
  <c r="H34" i="1"/>
  <c r="T33" i="1"/>
  <c r="S33" i="1"/>
  <c r="R33" i="1"/>
  <c r="U33" i="1" s="1"/>
  <c r="J33" i="1"/>
  <c r="I33" i="1"/>
  <c r="H33" i="1"/>
  <c r="K33" i="1" s="1"/>
  <c r="T32" i="1"/>
  <c r="S32" i="1"/>
  <c r="R32" i="1"/>
  <c r="J32" i="1"/>
  <c r="I32" i="1"/>
  <c r="H32" i="1"/>
  <c r="T31" i="1"/>
  <c r="S31" i="1"/>
  <c r="R31" i="1"/>
  <c r="J31" i="1"/>
  <c r="I31" i="1"/>
  <c r="H31" i="1"/>
  <c r="K31" i="1" s="1"/>
  <c r="T30" i="1"/>
  <c r="S30" i="1"/>
  <c r="R30" i="1"/>
  <c r="U30" i="1" s="1"/>
  <c r="J30" i="1"/>
  <c r="I30" i="1"/>
  <c r="H30" i="1"/>
  <c r="K30" i="1" s="1"/>
  <c r="T29" i="1"/>
  <c r="S29" i="1"/>
  <c r="R29" i="1"/>
  <c r="J29" i="1"/>
  <c r="I29" i="1"/>
  <c r="H29" i="1"/>
  <c r="K29" i="1" s="1"/>
  <c r="T28" i="1"/>
  <c r="S28" i="1"/>
  <c r="R28" i="1"/>
  <c r="J28" i="1"/>
  <c r="I28" i="1"/>
  <c r="H28" i="1"/>
  <c r="T27" i="1"/>
  <c r="S27" i="1"/>
  <c r="R27" i="1"/>
  <c r="J27" i="1"/>
  <c r="I27" i="1"/>
  <c r="H27" i="1"/>
  <c r="T26" i="1"/>
  <c r="S26" i="1"/>
  <c r="R26" i="1"/>
  <c r="U26" i="1" s="1"/>
  <c r="J26" i="1"/>
  <c r="I26" i="1"/>
  <c r="H26" i="1"/>
  <c r="T25" i="1"/>
  <c r="S25" i="1"/>
  <c r="R25" i="1"/>
  <c r="U25" i="1" s="1"/>
  <c r="J25" i="1"/>
  <c r="I25" i="1"/>
  <c r="H25" i="1"/>
  <c r="K25" i="1" s="1"/>
  <c r="T24" i="1"/>
  <c r="S24" i="1"/>
  <c r="R24" i="1"/>
  <c r="J24" i="1"/>
  <c r="I24" i="1"/>
  <c r="H24" i="1"/>
  <c r="K24" i="1" s="1"/>
  <c r="T23" i="1"/>
  <c r="S23" i="1"/>
  <c r="R23" i="1"/>
  <c r="U23" i="1" s="1"/>
  <c r="J23" i="1"/>
  <c r="I23" i="1"/>
  <c r="H23" i="1"/>
  <c r="K23" i="1" s="1"/>
  <c r="T22" i="1"/>
  <c r="S22" i="1"/>
  <c r="R22" i="1"/>
  <c r="U22" i="1" s="1"/>
  <c r="J22" i="1"/>
  <c r="I22" i="1"/>
  <c r="H22" i="1"/>
  <c r="T21" i="1"/>
  <c r="S21" i="1"/>
  <c r="R21" i="1"/>
  <c r="J21" i="1"/>
  <c r="I21" i="1"/>
  <c r="H21" i="1"/>
  <c r="T20" i="1"/>
  <c r="S20" i="1"/>
  <c r="R20" i="1"/>
  <c r="J20" i="1"/>
  <c r="I20" i="1"/>
  <c r="H20" i="1"/>
  <c r="T19" i="1"/>
  <c r="S19" i="1"/>
  <c r="R19" i="1"/>
  <c r="J19" i="1"/>
  <c r="I19" i="1"/>
  <c r="H19" i="1"/>
  <c r="T18" i="1"/>
  <c r="S18" i="1"/>
  <c r="R18" i="1"/>
  <c r="J18" i="1"/>
  <c r="I18" i="1"/>
  <c r="H18" i="1"/>
  <c r="T17" i="1"/>
  <c r="S17" i="1"/>
  <c r="R17" i="1"/>
  <c r="J17" i="1"/>
  <c r="I17" i="1"/>
  <c r="H17" i="1"/>
  <c r="T16" i="1"/>
  <c r="S16" i="1"/>
  <c r="R16" i="1"/>
  <c r="J16" i="1"/>
  <c r="I16" i="1"/>
  <c r="H16" i="1"/>
  <c r="T15" i="1"/>
  <c r="S15" i="1"/>
  <c r="R15" i="1"/>
  <c r="J15" i="1"/>
  <c r="I15" i="1"/>
  <c r="H15" i="1"/>
  <c r="T14" i="1"/>
  <c r="S14" i="1"/>
  <c r="R14" i="1"/>
  <c r="J14" i="1"/>
  <c r="I14" i="1"/>
  <c r="H14" i="1"/>
  <c r="T13" i="1"/>
  <c r="S13" i="1"/>
  <c r="R13" i="1"/>
  <c r="J13" i="1"/>
  <c r="I13" i="1"/>
  <c r="H13" i="1"/>
  <c r="T12" i="1"/>
  <c r="S12" i="1"/>
  <c r="R12" i="1"/>
  <c r="J12" i="1"/>
  <c r="I12" i="1"/>
  <c r="H12" i="1"/>
  <c r="T11" i="1"/>
  <c r="S11" i="1"/>
  <c r="R11" i="1"/>
  <c r="J11" i="1"/>
  <c r="I11" i="1"/>
  <c r="H11" i="1"/>
  <c r="T10" i="1"/>
  <c r="S10" i="1"/>
  <c r="R10" i="1"/>
  <c r="J10" i="1"/>
  <c r="I10" i="1"/>
  <c r="H10" i="1"/>
  <c r="T9" i="1"/>
  <c r="S9" i="1"/>
  <c r="R9" i="1"/>
  <c r="J9" i="1"/>
  <c r="I9" i="1"/>
  <c r="H9" i="1"/>
  <c r="T8" i="1"/>
  <c r="S8" i="1"/>
  <c r="R8" i="1"/>
  <c r="U8" i="1" s="1"/>
  <c r="J8" i="1"/>
  <c r="I8" i="1"/>
  <c r="H8" i="1"/>
  <c r="K8" i="1" s="1"/>
  <c r="T7" i="1"/>
  <c r="S7" i="1"/>
  <c r="R7" i="1"/>
  <c r="J7" i="1"/>
  <c r="I7" i="1"/>
  <c r="H7" i="1"/>
  <c r="T6" i="1"/>
  <c r="S6" i="1"/>
  <c r="R6" i="1"/>
  <c r="T5" i="1"/>
  <c r="S5" i="1"/>
  <c r="R5" i="1"/>
  <c r="J5" i="1"/>
  <c r="I5" i="1"/>
  <c r="H5" i="1"/>
  <c r="K21" i="1" l="1"/>
  <c r="K20" i="1"/>
  <c r="K19" i="1"/>
  <c r="K18" i="1"/>
  <c r="U16" i="1"/>
  <c r="K47" i="1"/>
  <c r="K72" i="1"/>
  <c r="U17" i="1"/>
  <c r="U54" i="1"/>
  <c r="U79" i="1"/>
  <c r="K26" i="1"/>
  <c r="U27" i="1"/>
  <c r="U32" i="1"/>
  <c r="K34" i="1"/>
  <c r="U35" i="1"/>
  <c r="K37" i="1"/>
  <c r="U38" i="1"/>
  <c r="U41" i="1"/>
  <c r="K62" i="1"/>
  <c r="U63" i="1"/>
  <c r="U66" i="1"/>
  <c r="K87" i="1"/>
  <c r="U88" i="1"/>
  <c r="U91" i="1"/>
  <c r="K93" i="1"/>
  <c r="U24" i="1"/>
  <c r="K28" i="1"/>
  <c r="K52" i="1"/>
  <c r="K77" i="1"/>
  <c r="U59" i="1"/>
  <c r="U84" i="1"/>
  <c r="U34" i="1"/>
  <c r="K42" i="1"/>
  <c r="K67" i="1"/>
  <c r="K92" i="1"/>
  <c r="U49" i="1"/>
  <c r="U74" i="1"/>
  <c r="U15" i="1"/>
  <c r="U20" i="1"/>
  <c r="K57" i="1"/>
  <c r="U58" i="1"/>
  <c r="U61" i="1"/>
  <c r="K82" i="1"/>
  <c r="U83" i="1"/>
  <c r="U86" i="1"/>
  <c r="K94" i="1"/>
  <c r="K27" i="1"/>
  <c r="U28" i="1"/>
  <c r="U31" i="1"/>
  <c r="U29" i="1"/>
  <c r="U19" i="1"/>
  <c r="K9" i="1"/>
  <c r="U18" i="1"/>
  <c r="U21" i="1"/>
  <c r="K22" i="1"/>
  <c r="K32" i="1"/>
  <c r="U36" i="1"/>
  <c r="K17" i="1"/>
  <c r="K16" i="1"/>
  <c r="K15" i="1"/>
  <c r="U14" i="1"/>
  <c r="K14" i="1"/>
  <c r="U13" i="1"/>
  <c r="K13" i="1"/>
  <c r="U12" i="1"/>
  <c r="U7" i="1"/>
  <c r="K7" i="1"/>
  <c r="K6" i="1"/>
  <c r="U5" i="1"/>
  <c r="K5" i="1"/>
  <c r="U6" i="1"/>
  <c r="U9" i="1"/>
  <c r="U10" i="1"/>
  <c r="K10" i="1"/>
  <c r="D15" i="2"/>
  <c r="U11" i="1"/>
  <c r="C15" i="2"/>
  <c r="B15" i="2"/>
  <c r="K11" i="1"/>
  <c r="D8" i="2"/>
  <c r="C8" i="2"/>
  <c r="K12" i="1"/>
  <c r="E5" i="2"/>
  <c r="E12" i="2"/>
  <c r="B5" i="2"/>
  <c r="B8" i="2"/>
  <c r="C5" i="2"/>
  <c r="D5" i="2"/>
  <c r="B12" i="2"/>
  <c r="C12" i="2"/>
  <c r="D12" i="2"/>
</calcChain>
</file>

<file path=xl/sharedStrings.xml><?xml version="1.0" encoding="utf-8"?>
<sst xmlns="http://schemas.openxmlformats.org/spreadsheetml/2006/main" count="179" uniqueCount="154">
  <si>
    <t>Deník krevního tlaku  ·  Pavel</t>
  </si>
  <si>
    <t>Datum</t>
  </si>
  <si>
    <t>Ráno – 1. měření</t>
  </si>
  <si>
    <t>Ráno – 2. měření</t>
  </si>
  <si>
    <t>Ráno – průměr</t>
  </si>
  <si>
    <t>Stav
ráno</t>
  </si>
  <si>
    <t>Večer – 1. měření</t>
  </si>
  <si>
    <t>Večer – 2. měření</t>
  </si>
  <si>
    <t>Večer – průměr</t>
  </si>
  <si>
    <t>Stav
večer</t>
  </si>
  <si>
    <t>Poznámky</t>
  </si>
  <si>
    <t>Sys
mmHg</t>
  </si>
  <si>
    <t>Dia
mmHg</t>
  </si>
  <si>
    <t>Tep
bpm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</si>
  <si>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</si>
  <si>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</si>
  <si>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</si>
  <si>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</si>
  <si>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</si>
  <si>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</si>
  <si>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</si>
  <si>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</si>
  <si>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</si>
  <si>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</si>
  <si>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</si>
  <si>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</si>
  <si>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</si>
  <si>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</si>
  <si>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</si>
  <si>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</si>
  <si>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</si>
  <si>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</si>
  <si>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</si>
  <si>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</si>
  <si>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</si>
  <si>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</si>
  <si>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</si>
  <si>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</si>
  <si>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</si>
  <si>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</si>
  <si>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</si>
  <si>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</si>
  <si>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</si>
  <si>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</si>
  <si>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</si>
  <si>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</si>
  <si>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</si>
  <si>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</si>
  <si>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</si>
  <si>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</si>
  <si>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</si>
  <si>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</si>
  <si>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</si>
  <si>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</si>
  <si>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</si>
  <si>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</si>
  <si>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</si>
  <si>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</si>
  <si>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</si>
  <si>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</si>
  <si>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</si>
  <si>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</si>
  <si>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</si>
  <si>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</si>
  <si>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</si>
  <si>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</si>
  <si>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</si>
  <si>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</si>
  <si>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</si>
  <si>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</si>
  <si>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</si>
  <si>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</si>
  <si>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</si>
  <si>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</si>
  <si>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</si>
  <si>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</si>
  <si>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</si>
  <si>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</si>
  <si>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</si>
  <si>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</si>
  <si>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</si>
  <si>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</si>
  <si>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</si>
  <si>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</si>
  <si>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</si>
  <si>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</si>
  <si>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</si>
  <si>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</si>
  <si>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</si>
  <si>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</si>
  <si>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</si>
  <si>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</si>
  <si>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</si>
  <si>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</si>
  <si>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</si>
  <si>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</si>
  <si>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</si>
  <si>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</si>
  <si>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</si>
  <si>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</si>
  <si>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</si>
  <si>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</si>
  <si>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</si>
  <si>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</si>
  <si>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Statistiky  ·  průměrné hodnoty</t>
  </si>
  <si>
    <t>Ráno – průměry (sloupec H, I, J)</t>
  </si>
  <si>
    <t>Hodnota</t>
  </si>
  <si>
    <t>Systóla (mmHg)</t>
  </si>
  <si>
    <t>Diastóla (mmHg)</t>
  </si>
  <si>
    <t>Tep (bpm)</t>
  </si>
  <si>
    <t>Počet dnů</t>
  </si>
  <si>
    <t>Průměr</t>
  </si>
  <si>
    <t>Minimum</t>
  </si>
  <si>
    <t>Maximum</t>
  </si>
  <si>
    <t>Poslední</t>
  </si>
  <si>
    <t>Večer – průměry (sloupec R, S, T)</t>
  </si>
  <si>
    <t>Referenční hodnoty (ESC 2023)</t>
  </si>
  <si>
    <t>Kategorie</t>
  </si>
  <si>
    <t>Systóla</t>
  </si>
  <si>
    <t>Diastóla</t>
  </si>
  <si>
    <t>Poznámka</t>
  </si>
  <si>
    <t>Symbol</t>
  </si>
  <si>
    <t>Normální</t>
  </si>
  <si>
    <t>&lt; 120</t>
  </si>
  <si>
    <t>&lt; 80</t>
  </si>
  <si>
    <t>Ideální stav</t>
  </si>
  <si>
    <t>OK</t>
  </si>
  <si>
    <t>Zvýšený</t>
  </si>
  <si>
    <t>120–129</t>
  </si>
  <si>
    <t>Sledovat</t>
  </si>
  <si>
    <t>~</t>
  </si>
  <si>
    <t>Hypertenze st. 1</t>
  </si>
  <si>
    <t>130–139</t>
  </si>
  <si>
    <t>80–89</t>
  </si>
  <si>
    <t>Poradit se s lékařem</t>
  </si>
  <si>
    <t>!</t>
  </si>
  <si>
    <t>Hypertenze st. 2</t>
  </si>
  <si>
    <t>≥ 140</t>
  </si>
  <si>
    <t>≥ 90</t>
  </si>
  <si>
    <t>Nutná léčba</t>
  </si>
  <si>
    <t>!!</t>
  </si>
  <si>
    <t>Hypertenzní krize</t>
  </si>
  <si>
    <t>≥ 180</t>
  </si>
  <si>
    <t>≥ 120</t>
  </si>
  <si>
    <t>Ihned k lékaři</t>
  </si>
  <si>
    <t>!!!</t>
  </si>
  <si>
    <t>Vývoj krevního tlaku  ·  průměry</t>
  </si>
  <si>
    <t>Toho 20. května ráno mě přijížděli kluci na golf a já byl nervózní už nevím proč hned od začátku že to všechno nestihnu dám to dohromady měl jsem tady partu 3 kluků</t>
  </si>
  <si>
    <t>jsem už byl pěkně utahanej byly to intenzivní hry golfu navíc já jsem musel tady v těch našich kop panoráma golf Kácově chodit pěšky zatímco oni jezdili na golfové bugy</t>
  </si>
  <si>
    <t>7.5.2026, 10:24–11:24 — únava, teplo, dehydratace Měření 1 (10:24): 107/72, tep 65 Měření 2 (~10:54): 84/71, tep 74 — pocit slabosti a strachu, nejspíš dehydratace Měření 3 (~11:24): 113/82, tep 61 — po doplnění tekutin, pocit výrazně lepší</t>
  </si>
  <si>
    <t>těsně před spaním ve 21:40</t>
  </si>
  <si>
    <t>večer jsem byl nějaký nervozní, měření v 21:46</t>
  </si>
  <si>
    <t>měřeno trochu později 9:16 bez procházky po práci na MACu</t>
  </si>
  <si>
    <t>ráno divně v puse - lék Controloc si nevezmu, ale ranní Meditace Dispensa, večer stažený krk jako včera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</si>
</sst>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111111"/>
      <name val="Arial"/>
      <family val="2"/>
    </font>
    <font>
      <b/>
      <sz val="10"/>
      <color rgb="FF111111"/>
      <name val="Arial"/>
      <family val="2"/>
    </font>
    <font>
      <sz val="9"/>
      <color rgb="FF111111"/>
      <name val="Arial"/>
      <family val="2"/>
    </font>
    <font>
      <b/>
      <sz val="15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6"/>
      <color rgb="FF121212"/>
      <name val="Helvetica"/>
      <family val="2"/>
    </font>
  </fonts>
  <fills count="19">
    <fill>
      <patternFill patternType="none"/>
    </fill>
    <fill>
      <patternFill patternType="gray125"/>
    </fill>
    <fill>
      <patternFill patternType="solid">
        <fgColor rgb="FF2C3E50"/>
        <bgColor rgb="FF154360"/>
      </patternFill>
    </fill>
    <fill>
      <patternFill patternType="solid">
        <fgColor rgb="FFA93226"/>
        <bgColor rgb="FFC0392B"/>
      </patternFill>
    </fill>
    <fill>
      <patternFill patternType="solid">
        <fgColor rgb="FFC0392B"/>
        <bgColor rgb="FFA93226"/>
      </patternFill>
    </fill>
    <fill>
      <patternFill patternType="solid">
        <fgColor rgb="FFF1948A"/>
        <bgColor rgb="FFCC99FF"/>
      </patternFill>
    </fill>
    <fill>
      <patternFill patternType="solid">
        <fgColor rgb="FF154360"/>
        <bgColor rgb="FF2C3E50"/>
      </patternFill>
    </fill>
    <fill>
      <patternFill patternType="solid">
        <fgColor rgb="FF1F618D"/>
        <bgColor rgb="FF154360"/>
      </patternFill>
    </fill>
    <fill>
      <patternFill patternType="solid">
        <fgColor rgb="FF7FB3D3"/>
        <bgColor rgb="FF9999FF"/>
      </patternFill>
    </fill>
    <fill>
      <patternFill patternType="solid">
        <fgColor rgb="FFFADBD8"/>
        <bgColor rgb="FFFDECEA"/>
      </patternFill>
    </fill>
    <fill>
      <patternFill patternType="solid">
        <fgColor rgb="FFFDECEA"/>
        <bgColor rgb="FFFEF9E7"/>
      </patternFill>
    </fill>
    <fill>
      <patternFill patternType="solid">
        <fgColor rgb="FFFEF9E7"/>
        <bgColor rgb="FFF4F6F7"/>
      </patternFill>
    </fill>
    <fill>
      <patternFill patternType="solid">
        <fgColor rgb="FFD6EAF8"/>
        <bgColor rgb="FFD1ECF1"/>
      </patternFill>
    </fill>
    <fill>
      <patternFill patternType="solid">
        <fgColor rgb="FFD1ECF1"/>
        <bgColor rgb="FFD6EAF8"/>
      </patternFill>
    </fill>
    <fill>
      <patternFill patternType="solid">
        <fgColor rgb="FFFFFFFF"/>
        <bgColor rgb="FFFEF9E7"/>
      </patternFill>
    </fill>
    <fill>
      <patternFill patternType="solid">
        <fgColor rgb="FF566573"/>
        <bgColor rgb="FF1F618D"/>
      </patternFill>
    </fill>
    <fill>
      <patternFill patternType="solid">
        <fgColor rgb="FFF4F6F7"/>
        <bgColor rgb="FFFEF9E7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1ECF1"/>
      </patternFill>
    </fill>
  </fills>
  <borders count="4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" fontId="4" fillId="9" borderId="3" xfId="0" applyNumberFormat="1" applyFont="1" applyFill="1" applyBorder="1" applyAlignment="1">
      <alignment horizontal="center" vertical="center" wrapText="1"/>
    </xf>
    <xf numFmtId="1" fontId="4" fillId="10" borderId="3" xfId="0" applyNumberFormat="1" applyFont="1" applyFill="1" applyBorder="1" applyAlignment="1">
      <alignment horizontal="center" vertical="center" wrapText="1"/>
    </xf>
    <xf numFmtId="164" fontId="5" fillId="11" borderId="3" xfId="0" applyNumberFormat="1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1" fontId="4" fillId="12" borderId="3" xfId="0" applyNumberFormat="1" applyFont="1" applyFill="1" applyBorder="1" applyAlignment="1">
      <alignment horizontal="center" vertical="center" wrapText="1"/>
    </xf>
    <xf numFmtId="1" fontId="4" fillId="13" borderId="3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left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left" vertical="center" wrapText="1"/>
    </xf>
    <xf numFmtId="164" fontId="4" fillId="14" borderId="3" xfId="0" applyNumberFormat="1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9" fillId="16" borderId="3" xfId="0" applyFont="1" applyFill="1" applyBorder="1" applyAlignment="1">
      <alignment horizontal="left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1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78787"/>
      <rgbColor rgb="FF9999FF"/>
      <rgbColor rgb="FFC0392B"/>
      <rgbColor rgb="FFFEF9E7"/>
      <rgbColor rgb="FFD1ECF1"/>
      <rgbColor rgb="FF660066"/>
      <rgbColor rgb="FFF1948A"/>
      <rgbColor rgb="FF1F618D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CEA"/>
      <rgbColor rgb="FF7FB3D3"/>
      <rgbColor rgb="FFF4F6F7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566573"/>
      <rgbColor rgb="FF969696"/>
      <rgbColor rgb="FF154360"/>
      <rgbColor rgb="FF1E8449"/>
      <rgbColor rgb="FF111111"/>
      <rgbColor rgb="FF333300"/>
      <rgbColor rgb="FFA93226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Průměr ráno – Systóla / Diastóla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Systóla ráno</c:v>
          </c:tx>
          <c:spPr>
            <a:ln w="2196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cs-CZ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'Denní log'!$H$5:$H$94</c:f>
              <c:numCache>
                <c:formatCode>0.0</c:formatCode>
                <c:ptCount val="90"/>
                <c:pt idx="0">
                  <c:v>147</c:v>
                </c:pt>
                <c:pt idx="1">
                  <c:v>120.5</c:v>
                </c:pt>
                <c:pt idx="2">
                  <c:v>141</c:v>
                </c:pt>
                <c:pt idx="3">
                  <c:v>0</c:v>
                </c:pt>
                <c:pt idx="4">
                  <c:v>0</c:v>
                </c:pt>
                <c:pt idx="5">
                  <c:v>122.5</c:v>
                </c:pt>
                <c:pt idx="6">
                  <c:v>133</c:v>
                </c:pt>
                <c:pt idx="7">
                  <c:v>124</c:v>
                </c:pt>
                <c:pt idx="8">
                  <c:v>118</c:v>
                </c:pt>
                <c:pt idx="9">
                  <c:v>121</c:v>
                </c:pt>
                <c:pt idx="10">
                  <c:v>112</c:v>
                </c:pt>
                <c:pt idx="11">
                  <c:v>0</c:v>
                </c:pt>
                <c:pt idx="12">
                  <c:v>121.5</c:v>
                </c:pt>
                <c:pt idx="13">
                  <c:v>120.5</c:v>
                </c:pt>
                <c:pt idx="14">
                  <c:v>117.5</c:v>
                </c:pt>
                <c:pt idx="15">
                  <c:v>117.5</c:v>
                </c:pt>
                <c:pt idx="16">
                  <c:v>114</c:v>
                </c:pt>
                <c:pt idx="17">
                  <c:v>118.5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07-F946-A511-654AA861D71D}"/>
            </c:ext>
          </c:extLst>
        </c:ser>
        <c:ser>
          <c:idx val="1"/>
          <c:order val="1"/>
          <c:tx>
            <c:v>Diastóla ráno</c:v>
          </c:tx>
          <c:spPr>
            <a:ln w="21960">
              <a:solidFill>
                <a:srgbClr val="A9322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cs-CZ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'Denní log'!$I$5:$I$94</c:f>
              <c:numCache>
                <c:formatCode>0.0</c:formatCode>
                <c:ptCount val="90"/>
                <c:pt idx="0">
                  <c:v>85</c:v>
                </c:pt>
                <c:pt idx="1">
                  <c:v>80</c:v>
                </c:pt>
                <c:pt idx="2">
                  <c:v>77</c:v>
                </c:pt>
                <c:pt idx="3">
                  <c:v>0</c:v>
                </c:pt>
                <c:pt idx="4">
                  <c:v>0</c:v>
                </c:pt>
                <c:pt idx="5">
                  <c:v>80</c:v>
                </c:pt>
                <c:pt idx="6">
                  <c:v>80</c:v>
                </c:pt>
                <c:pt idx="7">
                  <c:v>79</c:v>
                </c:pt>
                <c:pt idx="8">
                  <c:v>74.5</c:v>
                </c:pt>
                <c:pt idx="9">
                  <c:v>76.5</c:v>
                </c:pt>
                <c:pt idx="10">
                  <c:v>72.5</c:v>
                </c:pt>
                <c:pt idx="11">
                  <c:v>0</c:v>
                </c:pt>
                <c:pt idx="12">
                  <c:v>78.5</c:v>
                </c:pt>
                <c:pt idx="13">
                  <c:v>75.5</c:v>
                </c:pt>
                <c:pt idx="14">
                  <c:v>82.5</c:v>
                </c:pt>
                <c:pt idx="15">
                  <c:v>78</c:v>
                </c:pt>
                <c:pt idx="16">
                  <c:v>76</c:v>
                </c:pt>
                <c:pt idx="17">
                  <c:v>74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07-F946-A511-654AA861D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097419"/>
        <c:axId val="80713785"/>
      </c:lineChart>
      <c:catAx>
        <c:axId val="140974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Datum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cs-CZ"/>
          </a:p>
        </c:txPr>
        <c:crossAx val="80713785"/>
        <c:crosses val="autoZero"/>
        <c:auto val="1"/>
        <c:lblAlgn val="ctr"/>
        <c:lblOffset val="100"/>
        <c:noMultiLvlLbl val="0"/>
      </c:catAx>
      <c:valAx>
        <c:axId val="807137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mmHg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cs-CZ"/>
          </a:p>
        </c:txPr>
        <c:crossAx val="140974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cs-CZ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Průměr večer – Systóla / Diastóla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Systóla večer</c:v>
          </c:tx>
          <c:spPr>
            <a:ln w="21960">
              <a:solidFill>
                <a:srgbClr val="1F61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cs-CZ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'Denní log'!$R$5:$R$94</c:f>
              <c:numCache>
                <c:formatCode>0.0</c:formatCode>
                <c:ptCount val="90"/>
                <c:pt idx="0">
                  <c:v>126.5</c:v>
                </c:pt>
                <c:pt idx="1">
                  <c:v>120.5</c:v>
                </c:pt>
                <c:pt idx="2">
                  <c:v>124</c:v>
                </c:pt>
                <c:pt idx="3">
                  <c:v>0</c:v>
                </c:pt>
                <c:pt idx="4">
                  <c:v>124</c:v>
                </c:pt>
                <c:pt idx="5">
                  <c:v>126</c:v>
                </c:pt>
                <c:pt idx="6">
                  <c:v>120</c:v>
                </c:pt>
                <c:pt idx="7">
                  <c:v>113</c:v>
                </c:pt>
                <c:pt idx="8">
                  <c:v>131</c:v>
                </c:pt>
                <c:pt idx="9">
                  <c:v>135</c:v>
                </c:pt>
                <c:pt idx="10">
                  <c:v>0</c:v>
                </c:pt>
                <c:pt idx="11">
                  <c:v>126.5</c:v>
                </c:pt>
                <c:pt idx="12">
                  <c:v>0</c:v>
                </c:pt>
                <c:pt idx="13">
                  <c:v>127</c:v>
                </c:pt>
                <c:pt idx="14">
                  <c:v>128.5</c:v>
                </c:pt>
                <c:pt idx="15">
                  <c:v>121.5</c:v>
                </c:pt>
                <c:pt idx="16">
                  <c:v>123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26-AB42-AC9D-286CE08797A3}"/>
            </c:ext>
          </c:extLst>
        </c:ser>
        <c:ser>
          <c:idx val="1"/>
          <c:order val="1"/>
          <c:tx>
            <c:v>Diastóla večer</c:v>
          </c:tx>
          <c:spPr>
            <a:ln w="21960">
              <a:solidFill>
                <a:srgbClr val="1543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cs-CZ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'Denní log'!$S$5:$S$94</c:f>
              <c:numCache>
                <c:formatCode>0.0</c:formatCode>
                <c:ptCount val="90"/>
                <c:pt idx="0">
                  <c:v>77.5</c:v>
                </c:pt>
                <c:pt idx="1">
                  <c:v>80</c:v>
                </c:pt>
                <c:pt idx="2">
                  <c:v>70</c:v>
                </c:pt>
                <c:pt idx="3">
                  <c:v>0</c:v>
                </c:pt>
                <c:pt idx="4">
                  <c:v>70</c:v>
                </c:pt>
                <c:pt idx="5">
                  <c:v>72</c:v>
                </c:pt>
                <c:pt idx="6">
                  <c:v>76</c:v>
                </c:pt>
                <c:pt idx="7">
                  <c:v>71.5</c:v>
                </c:pt>
                <c:pt idx="8">
                  <c:v>79</c:v>
                </c:pt>
                <c:pt idx="9">
                  <c:v>78</c:v>
                </c:pt>
                <c:pt idx="10">
                  <c:v>0</c:v>
                </c:pt>
                <c:pt idx="11">
                  <c:v>76.5</c:v>
                </c:pt>
                <c:pt idx="12">
                  <c:v>0</c:v>
                </c:pt>
                <c:pt idx="13">
                  <c:v>77.5</c:v>
                </c:pt>
                <c:pt idx="14">
                  <c:v>77</c:v>
                </c:pt>
                <c:pt idx="15">
                  <c:v>73</c:v>
                </c:pt>
                <c:pt idx="16">
                  <c:v>75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26-AB42-AC9D-286CE0879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827443"/>
        <c:axId val="44128969"/>
      </c:lineChart>
      <c:catAx>
        <c:axId val="338274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Datum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cs-CZ"/>
          </a:p>
        </c:txPr>
        <c:crossAx val="44128969"/>
        <c:crosses val="autoZero"/>
        <c:auto val="1"/>
        <c:lblAlgn val="ctr"/>
        <c:lblOffset val="100"/>
        <c:noMultiLvlLbl val="0"/>
      </c:catAx>
      <c:valAx>
        <c:axId val="44128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mmHg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cs-CZ"/>
          </a:p>
        </c:txPr>
        <c:crossAx val="338274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cs-CZ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16</xdr:col>
      <xdr:colOff>295560</xdr:colOff>
      <xdr:row>28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16</xdr:col>
      <xdr:colOff>295560</xdr:colOff>
      <xdr:row>58</xdr:row>
      <xdr:rowOff>86760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4"/>
  <sheetViews>
    <sheetView showGridLines="0" tabSelected="1" zoomScaleNormal="100" workbookViewId="0">
      <pane xSplit="1" ySplit="4" topLeftCell="B9" activePane="bottomRight" state="frozen"/>
      <selection pane="topRight" activeCell="B1" sqref="B1"/>
      <selection pane="bottomLeft" activeCell="A5" sqref="A5"/>
      <selection pane="bottomRight" activeCell="G22" sqref="G22"/>
    </sheetView>
  </sheetViews>
  <sheetFormatPr baseColWidth="10" defaultColWidth="8.6640625" defaultRowHeight="15" x14ac:dyDescent="0.2"/>
  <cols>
    <col min="1" max="1" width="13" customWidth="1"/>
    <col min="2" max="10" width="7" customWidth="1"/>
    <col min="11" max="11" width="10" customWidth="1"/>
    <col min="12" max="20" width="7" customWidth="1"/>
    <col min="21" max="21" width="10" customWidth="1"/>
    <col min="22" max="22" width="28" customWidth="1"/>
  </cols>
  <sheetData>
    <row r="1" spans="1:22" ht="37.5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2" ht="3.75" customHeight="1" x14ac:dyDescent="0.2"/>
    <row r="3" spans="1:22" ht="27.75" customHeight="1" x14ac:dyDescent="0.2">
      <c r="A3" s="26" t="s">
        <v>1</v>
      </c>
      <c r="B3" s="27" t="s">
        <v>2</v>
      </c>
      <c r="C3" s="27"/>
      <c r="D3" s="27"/>
      <c r="E3" s="28" t="s">
        <v>3</v>
      </c>
      <c r="F3" s="28"/>
      <c r="G3" s="28"/>
      <c r="H3" s="29" t="s">
        <v>4</v>
      </c>
      <c r="I3" s="29"/>
      <c r="J3" s="29"/>
      <c r="K3" s="30" t="s">
        <v>5</v>
      </c>
      <c r="L3" s="31" t="s">
        <v>6</v>
      </c>
      <c r="M3" s="31"/>
      <c r="N3" s="31"/>
      <c r="O3" s="32" t="s">
        <v>7</v>
      </c>
      <c r="P3" s="32"/>
      <c r="Q3" s="32"/>
      <c r="R3" s="33" t="s">
        <v>8</v>
      </c>
      <c r="S3" s="33"/>
      <c r="T3" s="33"/>
      <c r="U3" s="34" t="s">
        <v>9</v>
      </c>
      <c r="V3" s="26" t="s">
        <v>10</v>
      </c>
    </row>
    <row r="4" spans="1:22" ht="33.75" customHeight="1" x14ac:dyDescent="0.2">
      <c r="A4" s="26"/>
      <c r="B4" s="1" t="s">
        <v>11</v>
      </c>
      <c r="C4" s="1" t="s">
        <v>12</v>
      </c>
      <c r="D4" s="1" t="s">
        <v>13</v>
      </c>
      <c r="E4" s="2" t="s">
        <v>11</v>
      </c>
      <c r="F4" s="2" t="s">
        <v>12</v>
      </c>
      <c r="G4" s="2" t="s">
        <v>13</v>
      </c>
      <c r="H4" s="3" t="s">
        <v>11</v>
      </c>
      <c r="I4" s="3" t="s">
        <v>12</v>
      </c>
      <c r="J4" s="3" t="s">
        <v>13</v>
      </c>
      <c r="K4" s="30"/>
      <c r="L4" s="4" t="s">
        <v>11</v>
      </c>
      <c r="M4" s="4" t="s">
        <v>12</v>
      </c>
      <c r="N4" s="4" t="s">
        <v>13</v>
      </c>
      <c r="O4" s="5" t="s">
        <v>11</v>
      </c>
      <c r="P4" s="5" t="s">
        <v>12</v>
      </c>
      <c r="Q4" s="5" t="s">
        <v>13</v>
      </c>
      <c r="R4" s="6" t="s">
        <v>11</v>
      </c>
      <c r="S4" s="6" t="s">
        <v>12</v>
      </c>
      <c r="T4" s="6" t="s">
        <v>13</v>
      </c>
      <c r="U4" s="34"/>
      <c r="V4" s="34"/>
    </row>
    <row r="5" spans="1:22" ht="19.5" customHeight="1" x14ac:dyDescent="0.25">
      <c r="A5" s="7" t="s">
        <v>14</v>
      </c>
      <c r="B5" s="8">
        <v>150</v>
      </c>
      <c r="C5" s="8">
        <v>83</v>
      </c>
      <c r="D5" s="8">
        <v>53</v>
      </c>
      <c r="E5" s="9">
        <v>144</v>
      </c>
      <c r="F5" s="9">
        <v>87</v>
      </c>
      <c r="G5" s="9">
        <v>52</v>
      </c>
      <c r="H5" s="10">
        <f t="shared" ref="H5:H36" si="0">IF(AND(B5="",E5=""),"",IFERROR(AVERAGE(B5,E5),IF(B5&lt;&gt;"",B5,E5)))</f>
        <v>147</v>
      </c>
      <c r="I5" s="10">
        <f t="shared" ref="I5:I36" si="1">IF(AND(C5="",F5=""),"",IFERROR(AVERAGE(C5,F5),IF(C5&lt;&gt;"",C5,F5)))</f>
        <v>85</v>
      </c>
      <c r="J5" s="10">
        <f t="shared" ref="J5:J36" si="2">IF(AND(D5="",G5=""),"",IFERROR(AVERAGE(D5,G5),IF(D5&lt;&gt;"",D5,G5)))</f>
        <v>52.5</v>
      </c>
      <c r="K5" s="11" t="str">
        <f t="shared" ref="K5:K36" si="3">IF(AND(H5="",I5=""),"",IF(OR(H5&gt;=180,I5&gt;=120),"!!! Krize",IF(OR(H5&gt;=140,I5&gt;=90),"Vysoký",IF(OR(H5&gt;=130,I5&gt;=80),"Zvýšený",IF(OR(H5&lt;=90,I5&lt;=60),"Nízký","Normální")))))</f>
        <v>Vysoký</v>
      </c>
      <c r="L5" s="12">
        <v>134</v>
      </c>
      <c r="M5" s="12">
        <v>79</v>
      </c>
      <c r="N5" s="12">
        <v>60</v>
      </c>
      <c r="O5" s="13">
        <v>119</v>
      </c>
      <c r="P5" s="13">
        <v>76</v>
      </c>
      <c r="Q5" s="13">
        <v>58</v>
      </c>
      <c r="R5" s="10">
        <f t="shared" ref="R5:R36" si="4">IF(AND(L5="",O5=""),"",IFERROR(AVERAGE(L5,O5),IF(L5&lt;&gt;"",L5,O5)))</f>
        <v>126.5</v>
      </c>
      <c r="S5" s="10">
        <f t="shared" ref="S5:S36" si="5">IF(AND(M5="",P5=""),"",IFERROR(AVERAGE(M5,P5),IF(M5&lt;&gt;"",M5,P5)))</f>
        <v>77.5</v>
      </c>
      <c r="T5" s="10">
        <f t="shared" ref="T5:T36" si="6">IF(AND(N5="",Q5=""),"",IFERROR(AVERAGE(N5,Q5),IF(N5&lt;&gt;"",N5,Q5)))</f>
        <v>59</v>
      </c>
      <c r="U5" s="11" t="str">
        <f t="shared" ref="U5:U36" si="7">IF(AND(R5="",S5=""),"",IF(OR(R5&gt;=180,S5&gt;=120),"!!! Krize",IF(OR(R5&gt;=140,S5&gt;=90),"Vysoký",IF(OR(R5&gt;=130,S5&gt;=80),"Zvýšený",IF(OR(R5&lt;=90,S5&lt;=60),"Nízký","Normální")))))</f>
        <v>Normální</v>
      </c>
      <c r="V5" s="24" t="s">
        <v>147</v>
      </c>
    </row>
    <row r="6" spans="1:22" ht="19.5" customHeight="1" x14ac:dyDescent="0.2">
      <c r="A6" s="15" t="s">
        <v>15</v>
      </c>
      <c r="B6" s="8">
        <v>122</v>
      </c>
      <c r="C6" s="8">
        <v>77</v>
      </c>
      <c r="D6" s="8">
        <v>57</v>
      </c>
      <c r="E6" s="9">
        <v>119</v>
      </c>
      <c r="F6" s="9">
        <v>83</v>
      </c>
      <c r="G6" s="9">
        <v>58</v>
      </c>
      <c r="H6" s="10">
        <f t="shared" ref="H6" si="8">IF(AND(B6="",E6=""),"",IFERROR(AVERAGE(B6,E6),IF(B6&lt;&gt;"",B6,E6)))</f>
        <v>120.5</v>
      </c>
      <c r="I6" s="10">
        <f t="shared" ref="I6" si="9">IF(AND(C6="",F6=""),"",IFERROR(AVERAGE(C6,F6),IF(C6&lt;&gt;"",C6,F6)))</f>
        <v>80</v>
      </c>
      <c r="J6" s="10">
        <f t="shared" ref="J6" si="10">IF(AND(D6="",G6=""),"",IFERROR(AVERAGE(D6,G6),IF(D6&lt;&gt;"",D6,G6)))</f>
        <v>57.5</v>
      </c>
      <c r="K6" s="11" t="str">
        <f t="shared" ref="K6" si="11">IF(AND(H6="",I6=""),"",IF(OR(H6&gt;=180,I6&gt;=120),"!!! Krize",IF(OR(H6&gt;=140,I6&gt;=90),"Vysoký",IF(OR(H6&gt;=130,I6&gt;=80),"Zvýšený",IF(OR(H6&lt;=90,I6&lt;=60),"Nízký","Normální")))))</f>
        <v>Zvýšený</v>
      </c>
      <c r="L6" s="12">
        <v>122</v>
      </c>
      <c r="M6" s="12">
        <v>77</v>
      </c>
      <c r="N6" s="12">
        <v>57</v>
      </c>
      <c r="O6" s="13">
        <v>119</v>
      </c>
      <c r="P6" s="13">
        <v>83</v>
      </c>
      <c r="Q6" s="13">
        <v>58</v>
      </c>
      <c r="R6" s="10">
        <f t="shared" si="4"/>
        <v>120.5</v>
      </c>
      <c r="S6" s="10">
        <f t="shared" si="5"/>
        <v>80</v>
      </c>
      <c r="T6" s="10">
        <f t="shared" si="6"/>
        <v>57.5</v>
      </c>
      <c r="U6" s="11" t="str">
        <f t="shared" si="7"/>
        <v>Zvýšený</v>
      </c>
      <c r="V6" s="16"/>
    </row>
    <row r="7" spans="1:22" ht="19.5" customHeight="1" x14ac:dyDescent="0.25">
      <c r="A7" s="7" t="s">
        <v>16</v>
      </c>
      <c r="B7" s="8">
        <v>141</v>
      </c>
      <c r="C7" s="8">
        <v>77</v>
      </c>
      <c r="D7" s="8">
        <v>59</v>
      </c>
      <c r="E7" s="9"/>
      <c r="F7" s="9"/>
      <c r="G7" s="9"/>
      <c r="H7" s="10">
        <f t="shared" si="0"/>
        <v>141</v>
      </c>
      <c r="I7" s="10">
        <f t="shared" si="1"/>
        <v>77</v>
      </c>
      <c r="J7" s="10">
        <f t="shared" si="2"/>
        <v>59</v>
      </c>
      <c r="K7" s="11" t="str">
        <f t="shared" si="3"/>
        <v>Vysoký</v>
      </c>
      <c r="L7" s="12">
        <v>130</v>
      </c>
      <c r="M7" s="12">
        <v>68</v>
      </c>
      <c r="N7" s="12">
        <v>56</v>
      </c>
      <c r="O7" s="13">
        <v>118</v>
      </c>
      <c r="P7" s="13">
        <v>72</v>
      </c>
      <c r="Q7" s="13">
        <v>54</v>
      </c>
      <c r="R7" s="10">
        <f t="shared" si="4"/>
        <v>124</v>
      </c>
      <c r="S7" s="10">
        <f t="shared" si="5"/>
        <v>70</v>
      </c>
      <c r="T7" s="10">
        <f t="shared" si="6"/>
        <v>55</v>
      </c>
      <c r="U7" s="11" t="str">
        <f t="shared" si="7"/>
        <v>Normální</v>
      </c>
      <c r="V7" s="24" t="s">
        <v>148</v>
      </c>
    </row>
    <row r="8" spans="1:22" ht="19.5" customHeight="1" x14ac:dyDescent="0.2">
      <c r="A8" s="15" t="s">
        <v>17</v>
      </c>
      <c r="B8" s="8"/>
      <c r="C8" s="8"/>
      <c r="D8" s="8"/>
      <c r="E8" s="9"/>
      <c r="F8" s="9"/>
      <c r="G8" s="9"/>
      <c r="H8" s="10" t="str">
        <f t="shared" si="0"/>
        <v/>
      </c>
      <c r="I8" s="10" t="str">
        <f t="shared" si="1"/>
        <v/>
      </c>
      <c r="J8" s="10" t="str">
        <f t="shared" si="2"/>
        <v/>
      </c>
      <c r="K8" s="11" t="str">
        <f t="shared" si="3"/>
        <v/>
      </c>
      <c r="L8" s="12"/>
      <c r="M8" s="12"/>
      <c r="N8" s="12"/>
      <c r="O8" s="13"/>
      <c r="P8" s="13"/>
      <c r="Q8" s="13"/>
      <c r="R8" s="10" t="str">
        <f t="shared" si="4"/>
        <v/>
      </c>
      <c r="S8" s="10" t="str">
        <f t="shared" si="5"/>
        <v/>
      </c>
      <c r="T8" s="10" t="str">
        <f t="shared" si="6"/>
        <v/>
      </c>
      <c r="U8" s="11" t="str">
        <f t="shared" si="7"/>
        <v/>
      </c>
      <c r="V8" s="16"/>
    </row>
    <row r="9" spans="1:22" ht="19.5" customHeight="1" x14ac:dyDescent="0.2">
      <c r="A9" s="7" t="s">
        <v>18</v>
      </c>
      <c r="B9" s="8"/>
      <c r="C9" s="8"/>
      <c r="D9" s="8"/>
      <c r="E9" s="9"/>
      <c r="F9" s="9"/>
      <c r="G9" s="9"/>
      <c r="H9" s="10" t="str">
        <f t="shared" si="0"/>
        <v/>
      </c>
      <c r="I9" s="10" t="str">
        <f t="shared" si="1"/>
        <v/>
      </c>
      <c r="J9" s="10" t="str">
        <f t="shared" si="2"/>
        <v/>
      </c>
      <c r="K9" s="11" t="str">
        <f t="shared" si="3"/>
        <v/>
      </c>
      <c r="L9" s="12">
        <v>130</v>
      </c>
      <c r="M9" s="12">
        <v>68</v>
      </c>
      <c r="N9" s="12">
        <v>56</v>
      </c>
      <c r="O9" s="13">
        <v>118</v>
      </c>
      <c r="P9" s="13">
        <v>72</v>
      </c>
      <c r="Q9" s="13">
        <v>54</v>
      </c>
      <c r="R9" s="10">
        <f t="shared" si="4"/>
        <v>124</v>
      </c>
      <c r="S9" s="10">
        <f t="shared" si="5"/>
        <v>70</v>
      </c>
      <c r="T9" s="10">
        <f t="shared" si="6"/>
        <v>55</v>
      </c>
      <c r="U9" s="11" t="str">
        <f t="shared" si="7"/>
        <v>Normální</v>
      </c>
      <c r="V9" s="14"/>
    </row>
    <row r="10" spans="1:22" ht="19.5" customHeight="1" x14ac:dyDescent="0.2">
      <c r="A10" s="15" t="s">
        <v>19</v>
      </c>
      <c r="B10" s="8">
        <v>125</v>
      </c>
      <c r="C10" s="8">
        <v>82</v>
      </c>
      <c r="D10" s="8">
        <v>58</v>
      </c>
      <c r="E10" s="9">
        <v>120</v>
      </c>
      <c r="F10" s="9">
        <v>78</v>
      </c>
      <c r="G10" s="9">
        <v>60</v>
      </c>
      <c r="H10" s="10">
        <f t="shared" si="0"/>
        <v>122.5</v>
      </c>
      <c r="I10" s="10">
        <f t="shared" si="1"/>
        <v>80</v>
      </c>
      <c r="J10" s="10">
        <f t="shared" si="2"/>
        <v>59</v>
      </c>
      <c r="K10" s="11" t="str">
        <f t="shared" si="3"/>
        <v>Zvýšený</v>
      </c>
      <c r="L10" s="12">
        <v>127</v>
      </c>
      <c r="M10" s="12">
        <v>72</v>
      </c>
      <c r="N10" s="12">
        <v>57</v>
      </c>
      <c r="O10" s="13">
        <v>125</v>
      </c>
      <c r="P10" s="13">
        <v>72</v>
      </c>
      <c r="Q10" s="13">
        <v>57</v>
      </c>
      <c r="R10" s="10">
        <f t="shared" si="4"/>
        <v>126</v>
      </c>
      <c r="S10" s="10">
        <f t="shared" si="5"/>
        <v>72</v>
      </c>
      <c r="T10" s="10">
        <f t="shared" si="6"/>
        <v>57</v>
      </c>
      <c r="U10" s="11" t="str">
        <f t="shared" si="7"/>
        <v>Normální</v>
      </c>
      <c r="V10" s="16"/>
    </row>
    <row r="11" spans="1:22" ht="19.5" customHeight="1" x14ac:dyDescent="0.2">
      <c r="A11" s="7" t="s">
        <v>20</v>
      </c>
      <c r="B11" s="8">
        <v>133</v>
      </c>
      <c r="C11" s="8">
        <v>80</v>
      </c>
      <c r="D11" s="8">
        <v>50</v>
      </c>
      <c r="E11" s="9"/>
      <c r="F11" s="9"/>
      <c r="G11" s="9"/>
      <c r="H11" s="10">
        <f t="shared" si="0"/>
        <v>133</v>
      </c>
      <c r="I11" s="10">
        <f t="shared" si="1"/>
        <v>80</v>
      </c>
      <c r="J11" s="10">
        <f t="shared" si="2"/>
        <v>50</v>
      </c>
      <c r="K11" s="11" t="str">
        <f t="shared" si="3"/>
        <v>Zvýšený</v>
      </c>
      <c r="L11" s="12">
        <v>122</v>
      </c>
      <c r="M11" s="12">
        <v>79</v>
      </c>
      <c r="N11" s="12">
        <v>60</v>
      </c>
      <c r="O11" s="13">
        <v>118</v>
      </c>
      <c r="P11" s="13">
        <v>73</v>
      </c>
      <c r="Q11" s="13">
        <v>58</v>
      </c>
      <c r="R11" s="10">
        <f t="shared" si="4"/>
        <v>120</v>
      </c>
      <c r="S11" s="10">
        <f t="shared" si="5"/>
        <v>76</v>
      </c>
      <c r="T11" s="10">
        <f t="shared" si="6"/>
        <v>59</v>
      </c>
      <c r="U11" s="11" t="str">
        <f t="shared" si="7"/>
        <v>Normální</v>
      </c>
      <c r="V11" s="14"/>
    </row>
    <row r="12" spans="1:22" ht="19.5" customHeight="1" x14ac:dyDescent="0.2">
      <c r="A12" s="15" t="s">
        <v>21</v>
      </c>
      <c r="B12" s="8">
        <v>130</v>
      </c>
      <c r="C12" s="8">
        <v>81</v>
      </c>
      <c r="D12" s="8">
        <v>51</v>
      </c>
      <c r="E12" s="9">
        <v>118</v>
      </c>
      <c r="F12" s="9">
        <v>77</v>
      </c>
      <c r="G12" s="9">
        <v>53</v>
      </c>
      <c r="H12" s="10">
        <f t="shared" si="0"/>
        <v>124</v>
      </c>
      <c r="I12" s="10">
        <f t="shared" si="1"/>
        <v>79</v>
      </c>
      <c r="J12" s="10">
        <f t="shared" si="2"/>
        <v>52</v>
      </c>
      <c r="K12" s="11" t="str">
        <f t="shared" si="3"/>
        <v>Normální</v>
      </c>
      <c r="L12" s="12">
        <v>109</v>
      </c>
      <c r="M12" s="12">
        <v>74</v>
      </c>
      <c r="N12" s="12">
        <v>53</v>
      </c>
      <c r="O12" s="13">
        <v>117</v>
      </c>
      <c r="P12" s="13">
        <v>69</v>
      </c>
      <c r="Q12" s="13">
        <v>56</v>
      </c>
      <c r="R12" s="10">
        <f t="shared" si="4"/>
        <v>113</v>
      </c>
      <c r="S12" s="10">
        <f t="shared" si="5"/>
        <v>71.5</v>
      </c>
      <c r="T12" s="10">
        <f t="shared" si="6"/>
        <v>54.5</v>
      </c>
      <c r="U12" s="11" t="str">
        <f t="shared" si="7"/>
        <v>Normální</v>
      </c>
      <c r="V12" s="14" t="s">
        <v>149</v>
      </c>
    </row>
    <row r="13" spans="1:22" ht="19.5" customHeight="1" x14ac:dyDescent="0.2">
      <c r="A13" s="7" t="s">
        <v>22</v>
      </c>
      <c r="B13" s="8">
        <v>122</v>
      </c>
      <c r="C13" s="8">
        <v>73</v>
      </c>
      <c r="D13" s="8">
        <v>56</v>
      </c>
      <c r="E13" s="9">
        <v>114</v>
      </c>
      <c r="F13" s="9">
        <v>76</v>
      </c>
      <c r="G13" s="9">
        <v>56</v>
      </c>
      <c r="H13" s="10">
        <f t="shared" si="0"/>
        <v>118</v>
      </c>
      <c r="I13" s="10">
        <f t="shared" si="1"/>
        <v>74.5</v>
      </c>
      <c r="J13" s="10">
        <f t="shared" si="2"/>
        <v>56</v>
      </c>
      <c r="K13" s="11" t="str">
        <f t="shared" si="3"/>
        <v>Normální</v>
      </c>
      <c r="L13" s="12">
        <v>139</v>
      </c>
      <c r="M13" s="12">
        <v>79</v>
      </c>
      <c r="N13" s="12">
        <v>58</v>
      </c>
      <c r="O13" s="13">
        <v>123</v>
      </c>
      <c r="P13" s="13">
        <v>79</v>
      </c>
      <c r="Q13" s="13">
        <v>57</v>
      </c>
      <c r="R13" s="10">
        <f t="shared" si="4"/>
        <v>131</v>
      </c>
      <c r="S13" s="10">
        <f t="shared" si="5"/>
        <v>79</v>
      </c>
      <c r="T13" s="10">
        <f t="shared" si="6"/>
        <v>57.5</v>
      </c>
      <c r="U13" s="11" t="str">
        <f t="shared" si="7"/>
        <v>Zvýšený</v>
      </c>
      <c r="V13" s="16" t="s">
        <v>150</v>
      </c>
    </row>
    <row r="14" spans="1:22" ht="19.5" customHeight="1" x14ac:dyDescent="0.2">
      <c r="A14" s="15" t="s">
        <v>23</v>
      </c>
      <c r="B14" s="8">
        <v>123</v>
      </c>
      <c r="C14" s="8">
        <v>82</v>
      </c>
      <c r="D14" s="8">
        <v>55</v>
      </c>
      <c r="E14" s="9">
        <v>119</v>
      </c>
      <c r="F14" s="9">
        <v>71</v>
      </c>
      <c r="G14" s="9">
        <v>53</v>
      </c>
      <c r="H14" s="10">
        <f t="shared" si="0"/>
        <v>121</v>
      </c>
      <c r="I14" s="10">
        <f t="shared" si="1"/>
        <v>76.5</v>
      </c>
      <c r="J14" s="10">
        <f t="shared" si="2"/>
        <v>54</v>
      </c>
      <c r="K14" s="11" t="str">
        <f t="shared" si="3"/>
        <v>Normální</v>
      </c>
      <c r="L14" s="12">
        <v>139</v>
      </c>
      <c r="M14" s="12">
        <v>76</v>
      </c>
      <c r="N14" s="12">
        <v>51</v>
      </c>
      <c r="O14" s="13">
        <v>131</v>
      </c>
      <c r="P14" s="13">
        <v>80</v>
      </c>
      <c r="Q14" s="13">
        <v>51</v>
      </c>
      <c r="R14" s="10">
        <f t="shared" si="4"/>
        <v>135</v>
      </c>
      <c r="S14" s="10">
        <f t="shared" si="5"/>
        <v>78</v>
      </c>
      <c r="T14" s="10">
        <f t="shared" si="6"/>
        <v>51</v>
      </c>
      <c r="U14" s="11" t="str">
        <f t="shared" si="7"/>
        <v>Zvýšený</v>
      </c>
      <c r="V14" s="14" t="s">
        <v>151</v>
      </c>
    </row>
    <row r="15" spans="1:22" ht="19.5" customHeight="1" x14ac:dyDescent="0.2">
      <c r="A15" s="7" t="s">
        <v>24</v>
      </c>
      <c r="B15" s="8">
        <v>112</v>
      </c>
      <c r="C15" s="8">
        <v>73</v>
      </c>
      <c r="D15" s="8">
        <v>60</v>
      </c>
      <c r="E15" s="9">
        <v>112</v>
      </c>
      <c r="F15" s="9">
        <v>72</v>
      </c>
      <c r="G15" s="9">
        <v>61</v>
      </c>
      <c r="H15" s="10">
        <f t="shared" si="0"/>
        <v>112</v>
      </c>
      <c r="I15" s="10">
        <f t="shared" si="1"/>
        <v>72.5</v>
      </c>
      <c r="J15" s="10">
        <f t="shared" si="2"/>
        <v>60.5</v>
      </c>
      <c r="K15" s="11" t="str">
        <f t="shared" si="3"/>
        <v>Normální</v>
      </c>
      <c r="L15" s="12"/>
      <c r="M15" s="12"/>
      <c r="N15" s="12"/>
      <c r="O15" s="13"/>
      <c r="P15" s="13"/>
      <c r="Q15" s="13"/>
      <c r="R15" s="10" t="str">
        <f t="shared" si="4"/>
        <v/>
      </c>
      <c r="S15" s="10" t="str">
        <f t="shared" si="5"/>
        <v/>
      </c>
      <c r="T15" s="10" t="str">
        <f t="shared" si="6"/>
        <v/>
      </c>
      <c r="U15" s="11" t="str">
        <f t="shared" si="7"/>
        <v/>
      </c>
      <c r="V15" s="16"/>
    </row>
    <row r="16" spans="1:22" ht="19.5" customHeight="1" x14ac:dyDescent="0.2">
      <c r="A16" s="15" t="s">
        <v>25</v>
      </c>
      <c r="B16" s="8"/>
      <c r="C16" s="8"/>
      <c r="D16" s="8"/>
      <c r="E16" s="9"/>
      <c r="F16" s="9"/>
      <c r="G16" s="9"/>
      <c r="H16" s="10" t="str">
        <f>IF(AND(B16="",E16=""),"",IFERROR(AVERAGE(B16,E16),IF(B16&lt;&gt;"",B16,E16)))</f>
        <v/>
      </c>
      <c r="I16" s="10" t="str">
        <f>IF(AND(C16="",F16=""),"",IFERROR(AVERAGE(C16,F16),IF(C16&lt;&gt;"",C16,F16)))</f>
        <v/>
      </c>
      <c r="J16" s="10" t="str">
        <f>IF(AND(D16="",G16=""),"",IFERROR(AVERAGE(D16,G16),IF(D16&lt;&gt;"",D16,G16)))</f>
        <v/>
      </c>
      <c r="K16" s="11" t="str">
        <f t="shared" si="3"/>
        <v/>
      </c>
      <c r="L16" s="12">
        <v>128</v>
      </c>
      <c r="M16" s="12">
        <v>79</v>
      </c>
      <c r="N16" s="12">
        <v>51</v>
      </c>
      <c r="O16" s="13">
        <v>125</v>
      </c>
      <c r="P16" s="13">
        <v>74</v>
      </c>
      <c r="Q16" s="13">
        <v>55</v>
      </c>
      <c r="R16" s="10">
        <f>IF(AND(L16="",O16=""),"",IFERROR(AVERAGE(L16,O16),IF(L16&lt;&gt;"",L16,O16)))</f>
        <v>126.5</v>
      </c>
      <c r="S16" s="10">
        <f>IF(AND(M16="",P16=""),"",IFERROR(AVERAGE(M16,P16),IF(M16&lt;&gt;"",M16,P16)))</f>
        <v>76.5</v>
      </c>
      <c r="T16" s="10">
        <f>IF(AND(N16="",Q16=""),"",IFERROR(AVERAGE(N16,Q16),IF(N16&lt;&gt;"",N16,Q16)))</f>
        <v>53</v>
      </c>
      <c r="U16" s="11" t="str">
        <f t="shared" si="7"/>
        <v>Normální</v>
      </c>
      <c r="V16" s="14"/>
    </row>
    <row r="17" spans="1:22" ht="19.5" customHeight="1" x14ac:dyDescent="0.2">
      <c r="A17" s="7" t="s">
        <v>26</v>
      </c>
      <c r="B17" s="8">
        <v>116</v>
      </c>
      <c r="C17" s="8">
        <v>79</v>
      </c>
      <c r="D17" s="8">
        <v>62</v>
      </c>
      <c r="E17" s="9">
        <v>127</v>
      </c>
      <c r="F17" s="9">
        <v>78</v>
      </c>
      <c r="G17" s="9">
        <v>59</v>
      </c>
      <c r="H17" s="10">
        <f t="shared" si="0"/>
        <v>121.5</v>
      </c>
      <c r="I17" s="10">
        <f t="shared" si="1"/>
        <v>78.5</v>
      </c>
      <c r="J17" s="10">
        <f t="shared" si="2"/>
        <v>60.5</v>
      </c>
      <c r="K17" s="11" t="str">
        <f t="shared" si="3"/>
        <v>Normální</v>
      </c>
      <c r="L17" s="12"/>
      <c r="M17" s="12"/>
      <c r="N17" s="12"/>
      <c r="O17" s="13"/>
      <c r="P17" s="13"/>
      <c r="Q17" s="13"/>
      <c r="R17" s="10" t="str">
        <f t="shared" si="4"/>
        <v/>
      </c>
      <c r="S17" s="10" t="str">
        <f t="shared" si="5"/>
        <v/>
      </c>
      <c r="T17" s="10" t="str">
        <f t="shared" si="6"/>
        <v/>
      </c>
      <c r="U17" s="11" t="str">
        <f t="shared" si="7"/>
        <v/>
      </c>
      <c r="V17" s="16" t="s">
        <v>152</v>
      </c>
    </row>
    <row r="18" spans="1:22" ht="19.5" customHeight="1" x14ac:dyDescent="0.2">
      <c r="A18" s="15" t="s">
        <v>27</v>
      </c>
      <c r="B18" s="8">
        <v>116</v>
      </c>
      <c r="C18" s="8">
        <v>74</v>
      </c>
      <c r="D18" s="8">
        <v>52</v>
      </c>
      <c r="E18" s="9">
        <v>125</v>
      </c>
      <c r="F18" s="9">
        <v>77</v>
      </c>
      <c r="G18" s="9">
        <v>52</v>
      </c>
      <c r="H18" s="10">
        <f t="shared" si="0"/>
        <v>120.5</v>
      </c>
      <c r="I18" s="10">
        <f t="shared" si="1"/>
        <v>75.5</v>
      </c>
      <c r="J18" s="10">
        <f t="shared" si="2"/>
        <v>52</v>
      </c>
      <c r="K18" s="11" t="str">
        <f t="shared" si="3"/>
        <v>Normální</v>
      </c>
      <c r="L18" s="13">
        <v>123</v>
      </c>
      <c r="M18" s="13">
        <v>79</v>
      </c>
      <c r="N18" s="13">
        <v>60</v>
      </c>
      <c r="O18" s="13">
        <v>131</v>
      </c>
      <c r="P18" s="13">
        <v>76</v>
      </c>
      <c r="Q18" s="13">
        <v>62</v>
      </c>
      <c r="R18" s="10">
        <f t="shared" si="4"/>
        <v>127</v>
      </c>
      <c r="S18" s="10">
        <f t="shared" si="5"/>
        <v>77.5</v>
      </c>
      <c r="T18" s="10">
        <f t="shared" si="6"/>
        <v>61</v>
      </c>
      <c r="U18" s="11" t="str">
        <f t="shared" si="7"/>
        <v>Normální</v>
      </c>
      <c r="V18" s="14" t="s">
        <v>153</v>
      </c>
    </row>
    <row r="19" spans="1:22" ht="19.5" customHeight="1" x14ac:dyDescent="0.2">
      <c r="A19" s="7" t="s">
        <v>28</v>
      </c>
      <c r="B19" s="8">
        <v>119</v>
      </c>
      <c r="C19" s="8">
        <v>81</v>
      </c>
      <c r="D19" s="8">
        <v>57</v>
      </c>
      <c r="E19" s="9">
        <v>116</v>
      </c>
      <c r="F19" s="9">
        <v>84</v>
      </c>
      <c r="G19" s="9">
        <v>56</v>
      </c>
      <c r="H19" s="10">
        <f t="shared" si="0"/>
        <v>117.5</v>
      </c>
      <c r="I19" s="10">
        <f t="shared" si="1"/>
        <v>82.5</v>
      </c>
      <c r="J19" s="10">
        <f t="shared" si="2"/>
        <v>56.5</v>
      </c>
      <c r="K19" s="11" t="str">
        <f t="shared" si="3"/>
        <v>Zvýšený</v>
      </c>
      <c r="L19" s="12">
        <v>126</v>
      </c>
      <c r="M19" s="12">
        <v>77</v>
      </c>
      <c r="N19" s="12">
        <v>61</v>
      </c>
      <c r="O19" s="13">
        <v>131</v>
      </c>
      <c r="P19" s="13">
        <v>77</v>
      </c>
      <c r="Q19" s="13">
        <v>60</v>
      </c>
      <c r="R19" s="10">
        <f t="shared" si="4"/>
        <v>128.5</v>
      </c>
      <c r="S19" s="10">
        <f t="shared" si="5"/>
        <v>77</v>
      </c>
      <c r="T19" s="10">
        <f t="shared" si="6"/>
        <v>60.5</v>
      </c>
      <c r="U19" s="11" t="str">
        <f t="shared" si="7"/>
        <v>Normální</v>
      </c>
      <c r="V19" s="16"/>
    </row>
    <row r="20" spans="1:22" ht="19.5" customHeight="1" x14ac:dyDescent="0.2">
      <c r="A20" s="15" t="s">
        <v>29</v>
      </c>
      <c r="B20" s="8">
        <v>117</v>
      </c>
      <c r="C20" s="8">
        <v>79</v>
      </c>
      <c r="D20" s="8">
        <v>57</v>
      </c>
      <c r="E20" s="9">
        <v>118</v>
      </c>
      <c r="F20" s="9">
        <v>77</v>
      </c>
      <c r="G20" s="9">
        <v>56</v>
      </c>
      <c r="H20" s="10">
        <f t="shared" si="0"/>
        <v>117.5</v>
      </c>
      <c r="I20" s="10">
        <f t="shared" si="1"/>
        <v>78</v>
      </c>
      <c r="J20" s="10">
        <f t="shared" si="2"/>
        <v>56.5</v>
      </c>
      <c r="K20" s="11" t="str">
        <f t="shared" si="3"/>
        <v>Normální</v>
      </c>
      <c r="L20" s="12">
        <v>118</v>
      </c>
      <c r="M20" s="12">
        <v>75</v>
      </c>
      <c r="N20" s="12">
        <v>51</v>
      </c>
      <c r="O20" s="13">
        <v>125</v>
      </c>
      <c r="P20" s="13">
        <v>71</v>
      </c>
      <c r="Q20" s="13">
        <v>50</v>
      </c>
      <c r="R20" s="10">
        <f t="shared" si="4"/>
        <v>121.5</v>
      </c>
      <c r="S20" s="10">
        <f t="shared" si="5"/>
        <v>73</v>
      </c>
      <c r="T20" s="10">
        <f t="shared" si="6"/>
        <v>50.5</v>
      </c>
      <c r="U20" s="11" t="str">
        <f t="shared" si="7"/>
        <v>Normální</v>
      </c>
      <c r="V20" s="14"/>
    </row>
    <row r="21" spans="1:22" ht="19.5" customHeight="1" x14ac:dyDescent="0.2">
      <c r="A21" s="7" t="s">
        <v>30</v>
      </c>
      <c r="B21" s="8">
        <v>128</v>
      </c>
      <c r="C21" s="8">
        <v>76</v>
      </c>
      <c r="D21" s="8">
        <v>54</v>
      </c>
      <c r="E21" s="9">
        <v>100</v>
      </c>
      <c r="F21" s="9">
        <v>76</v>
      </c>
      <c r="G21" s="9">
        <v>58</v>
      </c>
      <c r="H21" s="10">
        <f t="shared" si="0"/>
        <v>114</v>
      </c>
      <c r="I21" s="10">
        <f t="shared" si="1"/>
        <v>76</v>
      </c>
      <c r="J21" s="10">
        <f t="shared" si="2"/>
        <v>56</v>
      </c>
      <c r="K21" s="11" t="str">
        <f t="shared" si="3"/>
        <v>Normální</v>
      </c>
      <c r="L21" s="12">
        <v>126</v>
      </c>
      <c r="M21" s="12">
        <v>75</v>
      </c>
      <c r="N21" s="12">
        <v>61</v>
      </c>
      <c r="O21" s="13">
        <v>120</v>
      </c>
      <c r="P21" s="13">
        <v>75</v>
      </c>
      <c r="Q21" s="13">
        <v>64</v>
      </c>
      <c r="R21" s="10">
        <f t="shared" si="4"/>
        <v>123</v>
      </c>
      <c r="S21" s="10">
        <f t="shared" si="5"/>
        <v>75</v>
      </c>
      <c r="T21" s="10">
        <f t="shared" si="6"/>
        <v>62.5</v>
      </c>
      <c r="U21" s="11" t="str">
        <f t="shared" si="7"/>
        <v>Normální</v>
      </c>
      <c r="V21" s="14"/>
    </row>
    <row r="22" spans="1:22" ht="19.5" customHeight="1" x14ac:dyDescent="0.2">
      <c r="A22" s="15" t="s">
        <v>31</v>
      </c>
      <c r="B22" s="8">
        <v>128</v>
      </c>
      <c r="C22" s="8">
        <v>82</v>
      </c>
      <c r="D22" s="8">
        <v>54</v>
      </c>
      <c r="E22" s="9">
        <v>109</v>
      </c>
      <c r="F22" s="9">
        <v>66</v>
      </c>
      <c r="G22" s="9">
        <v>54</v>
      </c>
      <c r="H22" s="10">
        <f t="shared" si="0"/>
        <v>118.5</v>
      </c>
      <c r="I22" s="10">
        <f t="shared" si="1"/>
        <v>74</v>
      </c>
      <c r="J22" s="10">
        <f t="shared" si="2"/>
        <v>54</v>
      </c>
      <c r="K22" s="11" t="str">
        <f t="shared" si="3"/>
        <v>Normální</v>
      </c>
      <c r="L22" s="12"/>
      <c r="M22" s="12"/>
      <c r="N22" s="12"/>
      <c r="O22" s="13"/>
      <c r="P22" s="13"/>
      <c r="Q22" s="13"/>
      <c r="R22" s="10" t="str">
        <f t="shared" si="4"/>
        <v/>
      </c>
      <c r="S22" s="10" t="str">
        <f t="shared" si="5"/>
        <v/>
      </c>
      <c r="T22" s="10" t="str">
        <f t="shared" si="6"/>
        <v/>
      </c>
      <c r="U22" s="11" t="str">
        <f t="shared" si="7"/>
        <v/>
      </c>
      <c r="V22" s="16"/>
    </row>
    <row r="23" spans="1:22" ht="19.5" customHeight="1" x14ac:dyDescent="0.2">
      <c r="A23" s="7" t="s">
        <v>32</v>
      </c>
      <c r="B23" s="8"/>
      <c r="C23" s="8"/>
      <c r="D23" s="8"/>
      <c r="E23" s="9"/>
      <c r="F23" s="9"/>
      <c r="G23" s="9"/>
      <c r="H23" s="10" t="str">
        <f t="shared" si="0"/>
        <v/>
      </c>
      <c r="I23" s="10" t="str">
        <f t="shared" si="1"/>
        <v/>
      </c>
      <c r="J23" s="10" t="str">
        <f t="shared" si="2"/>
        <v/>
      </c>
      <c r="K23" s="11" t="str">
        <f t="shared" si="3"/>
        <v/>
      </c>
      <c r="L23" s="12"/>
      <c r="M23" s="12"/>
      <c r="N23" s="12"/>
      <c r="O23" s="13"/>
      <c r="P23" s="13"/>
      <c r="Q23" s="13"/>
      <c r="R23" s="10" t="str">
        <f t="shared" si="4"/>
        <v/>
      </c>
      <c r="S23" s="10" t="str">
        <f t="shared" si="5"/>
        <v/>
      </c>
      <c r="T23" s="10" t="str">
        <f t="shared" si="6"/>
        <v/>
      </c>
      <c r="U23" s="11" t="str">
        <f t="shared" si="7"/>
        <v/>
      </c>
      <c r="V23" s="14"/>
    </row>
    <row r="24" spans="1:22" ht="19.5" customHeight="1" x14ac:dyDescent="0.2">
      <c r="A24" s="15" t="s">
        <v>33</v>
      </c>
      <c r="B24" s="8"/>
      <c r="C24" s="8"/>
      <c r="D24" s="8"/>
      <c r="E24" s="9"/>
      <c r="F24" s="9"/>
      <c r="G24" s="9"/>
      <c r="H24" s="10" t="str">
        <f t="shared" si="0"/>
        <v/>
      </c>
      <c r="I24" s="10" t="str">
        <f t="shared" si="1"/>
        <v/>
      </c>
      <c r="J24" s="10" t="str">
        <f t="shared" si="2"/>
        <v/>
      </c>
      <c r="K24" s="11" t="str">
        <f t="shared" si="3"/>
        <v/>
      </c>
      <c r="L24" s="12"/>
      <c r="M24" s="12"/>
      <c r="N24" s="12"/>
      <c r="O24" s="13"/>
      <c r="P24" s="13"/>
      <c r="Q24" s="13"/>
      <c r="R24" s="10" t="str">
        <f t="shared" si="4"/>
        <v/>
      </c>
      <c r="S24" s="10" t="str">
        <f t="shared" si="5"/>
        <v/>
      </c>
      <c r="T24" s="10" t="str">
        <f t="shared" si="6"/>
        <v/>
      </c>
      <c r="U24" s="11" t="str">
        <f t="shared" si="7"/>
        <v/>
      </c>
      <c r="V24" s="16"/>
    </row>
    <row r="25" spans="1:22" ht="19.5" customHeight="1" x14ac:dyDescent="0.2">
      <c r="A25" s="7" t="s">
        <v>34</v>
      </c>
      <c r="B25" s="8"/>
      <c r="C25" s="8"/>
      <c r="D25" s="8"/>
      <c r="E25" s="9"/>
      <c r="F25" s="9"/>
      <c r="G25" s="9"/>
      <c r="H25" s="10" t="str">
        <f t="shared" si="0"/>
        <v/>
      </c>
      <c r="I25" s="10" t="str">
        <f t="shared" si="1"/>
        <v/>
      </c>
      <c r="J25" s="10" t="str">
        <f t="shared" si="2"/>
        <v/>
      </c>
      <c r="K25" s="11" t="str">
        <f t="shared" si="3"/>
        <v/>
      </c>
      <c r="L25" s="12"/>
      <c r="M25" s="12"/>
      <c r="N25" s="12"/>
      <c r="O25" s="13"/>
      <c r="P25" s="13"/>
      <c r="Q25" s="13"/>
      <c r="R25" s="10" t="str">
        <f t="shared" si="4"/>
        <v/>
      </c>
      <c r="S25" s="10" t="str">
        <f t="shared" si="5"/>
        <v/>
      </c>
      <c r="T25" s="10" t="str">
        <f t="shared" si="6"/>
        <v/>
      </c>
      <c r="U25" s="11" t="str">
        <f t="shared" si="7"/>
        <v/>
      </c>
      <c r="V25" s="14"/>
    </row>
    <row r="26" spans="1:22" ht="19.5" customHeight="1" x14ac:dyDescent="0.2">
      <c r="A26" s="15" t="s">
        <v>35</v>
      </c>
      <c r="B26" s="8"/>
      <c r="C26" s="8"/>
      <c r="D26" s="8"/>
      <c r="E26" s="9"/>
      <c r="F26" s="9"/>
      <c r="G26" s="9"/>
      <c r="H26" s="10" t="str">
        <f t="shared" si="0"/>
        <v/>
      </c>
      <c r="I26" s="10" t="str">
        <f t="shared" si="1"/>
        <v/>
      </c>
      <c r="J26" s="10" t="str">
        <f t="shared" si="2"/>
        <v/>
      </c>
      <c r="K26" s="11" t="str">
        <f t="shared" si="3"/>
        <v/>
      </c>
      <c r="L26" s="12"/>
      <c r="M26" s="12"/>
      <c r="N26" s="12"/>
      <c r="O26" s="13"/>
      <c r="P26" s="13"/>
      <c r="Q26" s="13"/>
      <c r="R26" s="10" t="str">
        <f t="shared" si="4"/>
        <v/>
      </c>
      <c r="S26" s="10" t="str">
        <f t="shared" si="5"/>
        <v/>
      </c>
      <c r="T26" s="10" t="str">
        <f t="shared" si="6"/>
        <v/>
      </c>
      <c r="U26" s="11" t="str">
        <f t="shared" si="7"/>
        <v/>
      </c>
      <c r="V26" s="16"/>
    </row>
    <row r="27" spans="1:22" ht="19.5" customHeight="1" x14ac:dyDescent="0.2">
      <c r="A27" s="7" t="s">
        <v>36</v>
      </c>
      <c r="B27" s="8"/>
      <c r="C27" s="8"/>
      <c r="D27" s="8"/>
      <c r="E27" s="9"/>
      <c r="F27" s="9"/>
      <c r="G27" s="9"/>
      <c r="H27" s="10" t="str">
        <f t="shared" si="0"/>
        <v/>
      </c>
      <c r="I27" s="10" t="str">
        <f t="shared" si="1"/>
        <v/>
      </c>
      <c r="J27" s="10" t="str">
        <f t="shared" si="2"/>
        <v/>
      </c>
      <c r="K27" s="11" t="str">
        <f t="shared" si="3"/>
        <v/>
      </c>
      <c r="L27" s="12"/>
      <c r="M27" s="12"/>
      <c r="N27" s="12"/>
      <c r="O27" s="13"/>
      <c r="P27" s="13"/>
      <c r="Q27" s="13"/>
      <c r="R27" s="10" t="str">
        <f t="shared" si="4"/>
        <v/>
      </c>
      <c r="S27" s="10" t="str">
        <f t="shared" si="5"/>
        <v/>
      </c>
      <c r="T27" s="10" t="str">
        <f t="shared" si="6"/>
        <v/>
      </c>
      <c r="U27" s="11" t="str">
        <f t="shared" si="7"/>
        <v/>
      </c>
      <c r="V27" s="14"/>
    </row>
    <row r="28" spans="1:22" ht="19.5" customHeight="1" x14ac:dyDescent="0.2">
      <c r="A28" s="15" t="s">
        <v>37</v>
      </c>
      <c r="B28" s="8"/>
      <c r="C28" s="8"/>
      <c r="D28" s="8"/>
      <c r="E28" s="9"/>
      <c r="F28" s="9"/>
      <c r="G28" s="9"/>
      <c r="H28" s="10" t="str">
        <f t="shared" si="0"/>
        <v/>
      </c>
      <c r="I28" s="10" t="str">
        <f t="shared" si="1"/>
        <v/>
      </c>
      <c r="J28" s="10" t="str">
        <f t="shared" si="2"/>
        <v/>
      </c>
      <c r="K28" s="11" t="str">
        <f t="shared" si="3"/>
        <v/>
      </c>
      <c r="L28" s="12"/>
      <c r="M28" s="12"/>
      <c r="N28" s="12"/>
      <c r="O28" s="13"/>
      <c r="P28" s="13"/>
      <c r="Q28" s="13"/>
      <c r="R28" s="10" t="str">
        <f t="shared" si="4"/>
        <v/>
      </c>
      <c r="S28" s="10" t="str">
        <f t="shared" si="5"/>
        <v/>
      </c>
      <c r="T28" s="10" t="str">
        <f t="shared" si="6"/>
        <v/>
      </c>
      <c r="U28" s="11" t="str">
        <f t="shared" si="7"/>
        <v/>
      </c>
      <c r="V28" s="16"/>
    </row>
    <row r="29" spans="1:22" ht="19.5" customHeight="1" x14ac:dyDescent="0.2">
      <c r="A29" s="7" t="s">
        <v>38</v>
      </c>
      <c r="B29" s="8"/>
      <c r="C29" s="8"/>
      <c r="D29" s="8"/>
      <c r="E29" s="9"/>
      <c r="F29" s="9"/>
      <c r="G29" s="9"/>
      <c r="H29" s="10" t="str">
        <f t="shared" si="0"/>
        <v/>
      </c>
      <c r="I29" s="10" t="str">
        <f t="shared" si="1"/>
        <v/>
      </c>
      <c r="J29" s="10" t="str">
        <f t="shared" si="2"/>
        <v/>
      </c>
      <c r="K29" s="11" t="str">
        <f t="shared" si="3"/>
        <v/>
      </c>
      <c r="L29" s="12"/>
      <c r="M29" s="12"/>
      <c r="N29" s="12"/>
      <c r="O29" s="13"/>
      <c r="P29" s="13"/>
      <c r="Q29" s="13"/>
      <c r="R29" s="10" t="str">
        <f t="shared" si="4"/>
        <v/>
      </c>
      <c r="S29" s="10" t="str">
        <f t="shared" si="5"/>
        <v/>
      </c>
      <c r="T29" s="10" t="str">
        <f t="shared" si="6"/>
        <v/>
      </c>
      <c r="U29" s="11" t="str">
        <f t="shared" si="7"/>
        <v/>
      </c>
      <c r="V29" s="14"/>
    </row>
    <row r="30" spans="1:22" ht="19.5" customHeight="1" x14ac:dyDescent="0.2">
      <c r="A30" s="15" t="s">
        <v>39</v>
      </c>
      <c r="B30" s="8"/>
      <c r="C30" s="8"/>
      <c r="D30" s="8"/>
      <c r="E30" s="9"/>
      <c r="F30" s="9"/>
      <c r="G30" s="9"/>
      <c r="H30" s="10" t="str">
        <f t="shared" si="0"/>
        <v/>
      </c>
      <c r="I30" s="10" t="str">
        <f t="shared" si="1"/>
        <v/>
      </c>
      <c r="J30" s="10" t="str">
        <f t="shared" si="2"/>
        <v/>
      </c>
      <c r="K30" s="11" t="str">
        <f t="shared" si="3"/>
        <v/>
      </c>
      <c r="L30" s="12"/>
      <c r="M30" s="12"/>
      <c r="N30" s="12"/>
      <c r="O30" s="13"/>
      <c r="P30" s="13"/>
      <c r="Q30" s="13"/>
      <c r="R30" s="10" t="str">
        <f t="shared" si="4"/>
        <v/>
      </c>
      <c r="S30" s="10" t="str">
        <f t="shared" si="5"/>
        <v/>
      </c>
      <c r="T30" s="10" t="str">
        <f t="shared" si="6"/>
        <v/>
      </c>
      <c r="U30" s="11" t="str">
        <f t="shared" si="7"/>
        <v/>
      </c>
      <c r="V30" s="16"/>
    </row>
    <row r="31" spans="1:22" ht="19.5" customHeight="1" x14ac:dyDescent="0.2">
      <c r="A31" s="7" t="s">
        <v>40</v>
      </c>
      <c r="B31" s="8"/>
      <c r="C31" s="8"/>
      <c r="D31" s="8"/>
      <c r="E31" s="9"/>
      <c r="F31" s="9"/>
      <c r="G31" s="9"/>
      <c r="H31" s="10" t="str">
        <f t="shared" si="0"/>
        <v/>
      </c>
      <c r="I31" s="10" t="str">
        <f t="shared" si="1"/>
        <v/>
      </c>
      <c r="J31" s="10" t="str">
        <f t="shared" si="2"/>
        <v/>
      </c>
      <c r="K31" s="11" t="str">
        <f t="shared" si="3"/>
        <v/>
      </c>
      <c r="L31" s="12"/>
      <c r="M31" s="12"/>
      <c r="N31" s="12"/>
      <c r="O31" s="13"/>
      <c r="P31" s="13"/>
      <c r="Q31" s="13"/>
      <c r="R31" s="10" t="str">
        <f t="shared" si="4"/>
        <v/>
      </c>
      <c r="S31" s="10" t="str">
        <f t="shared" si="5"/>
        <v/>
      </c>
      <c r="T31" s="10" t="str">
        <f t="shared" si="6"/>
        <v/>
      </c>
      <c r="U31" s="11" t="str">
        <f t="shared" si="7"/>
        <v/>
      </c>
      <c r="V31" s="14"/>
    </row>
    <row r="32" spans="1:22" ht="19.5" customHeight="1" x14ac:dyDescent="0.2">
      <c r="A32" s="15" t="s">
        <v>41</v>
      </c>
      <c r="B32" s="8"/>
      <c r="C32" s="8"/>
      <c r="D32" s="8"/>
      <c r="E32" s="9"/>
      <c r="F32" s="9"/>
      <c r="G32" s="9"/>
      <c r="H32" s="10" t="str">
        <f t="shared" si="0"/>
        <v/>
      </c>
      <c r="I32" s="10" t="str">
        <f t="shared" si="1"/>
        <v/>
      </c>
      <c r="J32" s="10" t="str">
        <f t="shared" si="2"/>
        <v/>
      </c>
      <c r="K32" s="11" t="str">
        <f t="shared" si="3"/>
        <v/>
      </c>
      <c r="L32" s="12"/>
      <c r="M32" s="12"/>
      <c r="N32" s="12"/>
      <c r="O32" s="13"/>
      <c r="P32" s="13"/>
      <c r="Q32" s="13"/>
      <c r="R32" s="10" t="str">
        <f t="shared" si="4"/>
        <v/>
      </c>
      <c r="S32" s="10" t="str">
        <f t="shared" si="5"/>
        <v/>
      </c>
      <c r="T32" s="10" t="str">
        <f t="shared" si="6"/>
        <v/>
      </c>
      <c r="U32" s="11" t="str">
        <f t="shared" si="7"/>
        <v/>
      </c>
      <c r="V32" s="16"/>
    </row>
    <row r="33" spans="1:22" ht="19.5" customHeight="1" x14ac:dyDescent="0.2">
      <c r="A33" s="7" t="s">
        <v>42</v>
      </c>
      <c r="B33" s="8"/>
      <c r="C33" s="8"/>
      <c r="D33" s="8"/>
      <c r="E33" s="9"/>
      <c r="F33" s="9"/>
      <c r="G33" s="9"/>
      <c r="H33" s="10" t="str">
        <f t="shared" si="0"/>
        <v/>
      </c>
      <c r="I33" s="10" t="str">
        <f t="shared" si="1"/>
        <v/>
      </c>
      <c r="J33" s="10" t="str">
        <f t="shared" si="2"/>
        <v/>
      </c>
      <c r="K33" s="11" t="str">
        <f t="shared" si="3"/>
        <v/>
      </c>
      <c r="L33" s="12"/>
      <c r="M33" s="12"/>
      <c r="N33" s="12"/>
      <c r="O33" s="13"/>
      <c r="P33" s="13"/>
      <c r="Q33" s="13"/>
      <c r="R33" s="10" t="str">
        <f t="shared" si="4"/>
        <v/>
      </c>
      <c r="S33" s="10" t="str">
        <f t="shared" si="5"/>
        <v/>
      </c>
      <c r="T33" s="10" t="str">
        <f t="shared" si="6"/>
        <v/>
      </c>
      <c r="U33" s="11" t="str">
        <f t="shared" si="7"/>
        <v/>
      </c>
      <c r="V33" s="14"/>
    </row>
    <row r="34" spans="1:22" ht="19.5" customHeight="1" x14ac:dyDescent="0.2">
      <c r="A34" s="15" t="s">
        <v>43</v>
      </c>
      <c r="B34" s="8"/>
      <c r="C34" s="8"/>
      <c r="D34" s="8"/>
      <c r="E34" s="9"/>
      <c r="F34" s="9"/>
      <c r="G34" s="9"/>
      <c r="H34" s="10" t="str">
        <f t="shared" si="0"/>
        <v/>
      </c>
      <c r="I34" s="10" t="str">
        <f t="shared" si="1"/>
        <v/>
      </c>
      <c r="J34" s="10" t="str">
        <f t="shared" si="2"/>
        <v/>
      </c>
      <c r="K34" s="11" t="str">
        <f t="shared" si="3"/>
        <v/>
      </c>
      <c r="L34" s="12"/>
      <c r="M34" s="12"/>
      <c r="N34" s="12"/>
      <c r="O34" s="13"/>
      <c r="P34" s="13"/>
      <c r="Q34" s="13"/>
      <c r="R34" s="10" t="str">
        <f t="shared" si="4"/>
        <v/>
      </c>
      <c r="S34" s="10" t="str">
        <f t="shared" si="5"/>
        <v/>
      </c>
      <c r="T34" s="10" t="str">
        <f t="shared" si="6"/>
        <v/>
      </c>
      <c r="U34" s="11" t="str">
        <f t="shared" si="7"/>
        <v/>
      </c>
      <c r="V34" s="16"/>
    </row>
    <row r="35" spans="1:22" ht="19.5" customHeight="1" x14ac:dyDescent="0.2">
      <c r="A35" s="7" t="s">
        <v>44</v>
      </c>
      <c r="B35" s="8"/>
      <c r="C35" s="8"/>
      <c r="D35" s="8"/>
      <c r="E35" s="9"/>
      <c r="F35" s="9"/>
      <c r="G35" s="9"/>
      <c r="H35" s="10" t="str">
        <f t="shared" si="0"/>
        <v/>
      </c>
      <c r="I35" s="10" t="str">
        <f t="shared" si="1"/>
        <v/>
      </c>
      <c r="J35" s="10" t="str">
        <f t="shared" si="2"/>
        <v/>
      </c>
      <c r="K35" s="11" t="str">
        <f t="shared" si="3"/>
        <v/>
      </c>
      <c r="L35" s="12"/>
      <c r="M35" s="12"/>
      <c r="N35" s="12"/>
      <c r="O35" s="13"/>
      <c r="P35" s="13"/>
      <c r="Q35" s="13"/>
      <c r="R35" s="10" t="str">
        <f t="shared" si="4"/>
        <v/>
      </c>
      <c r="S35" s="10" t="str">
        <f t="shared" si="5"/>
        <v/>
      </c>
      <c r="T35" s="10" t="str">
        <f t="shared" si="6"/>
        <v/>
      </c>
      <c r="U35" s="11" t="str">
        <f t="shared" si="7"/>
        <v/>
      </c>
      <c r="V35" s="14"/>
    </row>
    <row r="36" spans="1:22" ht="19.5" customHeight="1" x14ac:dyDescent="0.2">
      <c r="A36" s="15" t="s">
        <v>45</v>
      </c>
      <c r="B36" s="8"/>
      <c r="C36" s="8"/>
      <c r="D36" s="8"/>
      <c r="E36" s="9"/>
      <c r="F36" s="9"/>
      <c r="G36" s="9"/>
      <c r="H36" s="10" t="str">
        <f t="shared" si="0"/>
        <v/>
      </c>
      <c r="I36" s="10" t="str">
        <f t="shared" si="1"/>
        <v/>
      </c>
      <c r="J36" s="10" t="str">
        <f t="shared" si="2"/>
        <v/>
      </c>
      <c r="K36" s="11" t="str">
        <f t="shared" si="3"/>
        <v/>
      </c>
      <c r="L36" s="12"/>
      <c r="M36" s="12"/>
      <c r="N36" s="12"/>
      <c r="O36" s="13"/>
      <c r="P36" s="13"/>
      <c r="Q36" s="13"/>
      <c r="R36" s="10" t="str">
        <f t="shared" si="4"/>
        <v/>
      </c>
      <c r="S36" s="10" t="str">
        <f t="shared" si="5"/>
        <v/>
      </c>
      <c r="T36" s="10" t="str">
        <f t="shared" si="6"/>
        <v/>
      </c>
      <c r="U36" s="11" t="str">
        <f t="shared" si="7"/>
        <v/>
      </c>
      <c r="V36" s="16"/>
    </row>
    <row r="37" spans="1:22" ht="19.5" customHeight="1" x14ac:dyDescent="0.2">
      <c r="A37" s="7" t="s">
        <v>46</v>
      </c>
      <c r="B37" s="8"/>
      <c r="C37" s="8"/>
      <c r="D37" s="8"/>
      <c r="E37" s="9"/>
      <c r="F37" s="9"/>
      <c r="G37" s="9"/>
      <c r="H37" s="10" t="str">
        <f t="shared" ref="H37:H68" si="12">IF(AND(B37="",E37=""),"",IFERROR(AVERAGE(B37,E37),IF(B37&lt;&gt;"",B37,E37)))</f>
        <v/>
      </c>
      <c r="I37" s="10" t="str">
        <f t="shared" ref="I37:I68" si="13">IF(AND(C37="",F37=""),"",IFERROR(AVERAGE(C37,F37),IF(C37&lt;&gt;"",C37,F37)))</f>
        <v/>
      </c>
      <c r="J37" s="10" t="str">
        <f t="shared" ref="J37:J68" si="14">IF(AND(D37="",G37=""),"",IFERROR(AVERAGE(D37,G37),IF(D37&lt;&gt;"",D37,G37)))</f>
        <v/>
      </c>
      <c r="K37" s="11" t="str">
        <f t="shared" ref="K37:K68" si="15">IF(AND(H37="",I37=""),"",IF(OR(H37&gt;=180,I37&gt;=120),"!!! Krize",IF(OR(H37&gt;=140,I37&gt;=90),"Vysoký",IF(OR(H37&gt;=130,I37&gt;=80),"Zvýšený",IF(OR(H37&lt;=90,I37&lt;=60),"Nízký","Normální")))))</f>
        <v/>
      </c>
      <c r="L37" s="12"/>
      <c r="M37" s="12"/>
      <c r="N37" s="12"/>
      <c r="O37" s="13"/>
      <c r="P37" s="13"/>
      <c r="Q37" s="13"/>
      <c r="R37" s="10" t="str">
        <f t="shared" ref="R37:R68" si="16">IF(AND(L37="",O37=""),"",IFERROR(AVERAGE(L37,O37),IF(L37&lt;&gt;"",L37,O37)))</f>
        <v/>
      </c>
      <c r="S37" s="10" t="str">
        <f t="shared" ref="S37:S68" si="17">IF(AND(M37="",P37=""),"",IFERROR(AVERAGE(M37,P37),IF(M37&lt;&gt;"",M37,P37)))</f>
        <v/>
      </c>
      <c r="T37" s="10" t="str">
        <f t="shared" ref="T37:T68" si="18">IF(AND(N37="",Q37=""),"",IFERROR(AVERAGE(N37,Q37),IF(N37&lt;&gt;"",N37,Q37)))</f>
        <v/>
      </c>
      <c r="U37" s="11" t="str">
        <f t="shared" ref="U37:U68" si="19">IF(AND(R37="",S37=""),"",IF(OR(R37&gt;=180,S37&gt;=120),"!!! Krize",IF(OR(R37&gt;=140,S37&gt;=90),"Vysoký",IF(OR(R37&gt;=130,S37&gt;=80),"Zvýšený",IF(OR(R37&lt;=90,S37&lt;=60),"Nízký","Normální")))))</f>
        <v/>
      </c>
      <c r="V37" s="14"/>
    </row>
    <row r="38" spans="1:22" ht="19.5" customHeight="1" x14ac:dyDescent="0.2">
      <c r="A38" s="15" t="s">
        <v>47</v>
      </c>
      <c r="B38" s="8"/>
      <c r="C38" s="8"/>
      <c r="D38" s="8"/>
      <c r="E38" s="9"/>
      <c r="F38" s="9"/>
      <c r="G38" s="9"/>
      <c r="H38" s="10" t="str">
        <f t="shared" si="12"/>
        <v/>
      </c>
      <c r="I38" s="10" t="str">
        <f t="shared" si="13"/>
        <v/>
      </c>
      <c r="J38" s="10" t="str">
        <f t="shared" si="14"/>
        <v/>
      </c>
      <c r="K38" s="11" t="str">
        <f t="shared" si="15"/>
        <v/>
      </c>
      <c r="L38" s="12"/>
      <c r="M38" s="12"/>
      <c r="N38" s="12"/>
      <c r="O38" s="13"/>
      <c r="P38" s="13"/>
      <c r="Q38" s="13"/>
      <c r="R38" s="10" t="str">
        <f t="shared" si="16"/>
        <v/>
      </c>
      <c r="S38" s="10" t="str">
        <f t="shared" si="17"/>
        <v/>
      </c>
      <c r="T38" s="10" t="str">
        <f t="shared" si="18"/>
        <v/>
      </c>
      <c r="U38" s="11" t="str">
        <f t="shared" si="19"/>
        <v/>
      </c>
      <c r="V38" s="16"/>
    </row>
    <row r="39" spans="1:22" ht="19.5" customHeight="1" x14ac:dyDescent="0.2">
      <c r="A39" s="7" t="s">
        <v>48</v>
      </c>
      <c r="B39" s="8"/>
      <c r="C39" s="8"/>
      <c r="D39" s="8"/>
      <c r="E39" s="9"/>
      <c r="F39" s="9"/>
      <c r="G39" s="9"/>
      <c r="H39" s="10" t="str">
        <f t="shared" si="12"/>
        <v/>
      </c>
      <c r="I39" s="10" t="str">
        <f t="shared" si="13"/>
        <v/>
      </c>
      <c r="J39" s="10" t="str">
        <f t="shared" si="14"/>
        <v/>
      </c>
      <c r="K39" s="11" t="str">
        <f t="shared" si="15"/>
        <v/>
      </c>
      <c r="L39" s="12"/>
      <c r="M39" s="12"/>
      <c r="N39" s="12"/>
      <c r="O39" s="13"/>
      <c r="P39" s="13"/>
      <c r="Q39" s="13"/>
      <c r="R39" s="10" t="str">
        <f t="shared" si="16"/>
        <v/>
      </c>
      <c r="S39" s="10" t="str">
        <f t="shared" si="17"/>
        <v/>
      </c>
      <c r="T39" s="10" t="str">
        <f t="shared" si="18"/>
        <v/>
      </c>
      <c r="U39" s="11" t="str">
        <f t="shared" si="19"/>
        <v/>
      </c>
      <c r="V39" s="14"/>
    </row>
    <row r="40" spans="1:22" ht="19.5" customHeight="1" x14ac:dyDescent="0.2">
      <c r="A40" s="15" t="s">
        <v>49</v>
      </c>
      <c r="B40" s="8"/>
      <c r="C40" s="8"/>
      <c r="D40" s="8"/>
      <c r="E40" s="9"/>
      <c r="F40" s="9"/>
      <c r="G40" s="9"/>
      <c r="H40" s="10" t="str">
        <f t="shared" si="12"/>
        <v/>
      </c>
      <c r="I40" s="10" t="str">
        <f t="shared" si="13"/>
        <v/>
      </c>
      <c r="J40" s="10" t="str">
        <f t="shared" si="14"/>
        <v/>
      </c>
      <c r="K40" s="11" t="str">
        <f t="shared" si="15"/>
        <v/>
      </c>
      <c r="L40" s="12"/>
      <c r="M40" s="12"/>
      <c r="N40" s="12"/>
      <c r="O40" s="13"/>
      <c r="P40" s="13"/>
      <c r="Q40" s="13"/>
      <c r="R40" s="10" t="str">
        <f t="shared" si="16"/>
        <v/>
      </c>
      <c r="S40" s="10" t="str">
        <f t="shared" si="17"/>
        <v/>
      </c>
      <c r="T40" s="10" t="str">
        <f t="shared" si="18"/>
        <v/>
      </c>
      <c r="U40" s="11" t="str">
        <f t="shared" si="19"/>
        <v/>
      </c>
      <c r="V40" s="16"/>
    </row>
    <row r="41" spans="1:22" ht="19.5" customHeight="1" x14ac:dyDescent="0.2">
      <c r="A41" s="7" t="s">
        <v>50</v>
      </c>
      <c r="B41" s="8"/>
      <c r="C41" s="8"/>
      <c r="D41" s="8"/>
      <c r="E41" s="9"/>
      <c r="F41" s="9"/>
      <c r="G41" s="9"/>
      <c r="H41" s="10" t="str">
        <f t="shared" si="12"/>
        <v/>
      </c>
      <c r="I41" s="10" t="str">
        <f t="shared" si="13"/>
        <v/>
      </c>
      <c r="J41" s="10" t="str">
        <f t="shared" si="14"/>
        <v/>
      </c>
      <c r="K41" s="11" t="str">
        <f t="shared" si="15"/>
        <v/>
      </c>
      <c r="L41" s="12"/>
      <c r="M41" s="12"/>
      <c r="N41" s="12"/>
      <c r="O41" s="13"/>
      <c r="P41" s="13"/>
      <c r="Q41" s="13"/>
      <c r="R41" s="10" t="str">
        <f t="shared" si="16"/>
        <v/>
      </c>
      <c r="S41" s="10" t="str">
        <f t="shared" si="17"/>
        <v/>
      </c>
      <c r="T41" s="10" t="str">
        <f t="shared" si="18"/>
        <v/>
      </c>
      <c r="U41" s="11" t="str">
        <f t="shared" si="19"/>
        <v/>
      </c>
      <c r="V41" s="14"/>
    </row>
    <row r="42" spans="1:22" ht="19.5" customHeight="1" x14ac:dyDescent="0.2">
      <c r="A42" s="15" t="s">
        <v>51</v>
      </c>
      <c r="B42" s="8"/>
      <c r="C42" s="8"/>
      <c r="D42" s="8"/>
      <c r="E42" s="9"/>
      <c r="F42" s="9"/>
      <c r="G42" s="9"/>
      <c r="H42" s="10" t="str">
        <f t="shared" si="12"/>
        <v/>
      </c>
      <c r="I42" s="10" t="str">
        <f t="shared" si="13"/>
        <v/>
      </c>
      <c r="J42" s="10" t="str">
        <f t="shared" si="14"/>
        <v/>
      </c>
      <c r="K42" s="11" t="str">
        <f t="shared" si="15"/>
        <v/>
      </c>
      <c r="L42" s="12"/>
      <c r="M42" s="12"/>
      <c r="N42" s="12"/>
      <c r="O42" s="13"/>
      <c r="P42" s="13"/>
      <c r="Q42" s="13"/>
      <c r="R42" s="10" t="str">
        <f t="shared" si="16"/>
        <v/>
      </c>
      <c r="S42" s="10" t="str">
        <f t="shared" si="17"/>
        <v/>
      </c>
      <c r="T42" s="10" t="str">
        <f t="shared" si="18"/>
        <v/>
      </c>
      <c r="U42" s="11" t="str">
        <f t="shared" si="19"/>
        <v/>
      </c>
      <c r="V42" s="16"/>
    </row>
    <row r="43" spans="1:22" ht="19.5" customHeight="1" x14ac:dyDescent="0.2">
      <c r="A43" s="7" t="s">
        <v>52</v>
      </c>
      <c r="B43" s="8"/>
      <c r="C43" s="8"/>
      <c r="D43" s="8"/>
      <c r="E43" s="9"/>
      <c r="F43" s="9"/>
      <c r="G43" s="9"/>
      <c r="H43" s="10" t="str">
        <f t="shared" si="12"/>
        <v/>
      </c>
      <c r="I43" s="10" t="str">
        <f t="shared" si="13"/>
        <v/>
      </c>
      <c r="J43" s="10" t="str">
        <f t="shared" si="14"/>
        <v/>
      </c>
      <c r="K43" s="11" t="str">
        <f t="shared" si="15"/>
        <v/>
      </c>
      <c r="L43" s="12"/>
      <c r="M43" s="12"/>
      <c r="N43" s="12"/>
      <c r="O43" s="13"/>
      <c r="P43" s="13"/>
      <c r="Q43" s="13"/>
      <c r="R43" s="10" t="str">
        <f t="shared" si="16"/>
        <v/>
      </c>
      <c r="S43" s="10" t="str">
        <f t="shared" si="17"/>
        <v/>
      </c>
      <c r="T43" s="10" t="str">
        <f t="shared" si="18"/>
        <v/>
      </c>
      <c r="U43" s="11" t="str">
        <f t="shared" si="19"/>
        <v/>
      </c>
      <c r="V43" s="14"/>
    </row>
    <row r="44" spans="1:22" ht="19.5" customHeight="1" x14ac:dyDescent="0.2">
      <c r="A44" s="15" t="s">
        <v>53</v>
      </c>
      <c r="B44" s="8"/>
      <c r="C44" s="8"/>
      <c r="D44" s="8"/>
      <c r="E44" s="9"/>
      <c r="F44" s="9"/>
      <c r="G44" s="9"/>
      <c r="H44" s="10" t="str">
        <f t="shared" si="12"/>
        <v/>
      </c>
      <c r="I44" s="10" t="str">
        <f t="shared" si="13"/>
        <v/>
      </c>
      <c r="J44" s="10" t="str">
        <f t="shared" si="14"/>
        <v/>
      </c>
      <c r="K44" s="11" t="str">
        <f t="shared" si="15"/>
        <v/>
      </c>
      <c r="L44" s="12"/>
      <c r="M44" s="12"/>
      <c r="N44" s="12"/>
      <c r="O44" s="13"/>
      <c r="P44" s="13"/>
      <c r="Q44" s="13"/>
      <c r="R44" s="10" t="str">
        <f t="shared" si="16"/>
        <v/>
      </c>
      <c r="S44" s="10" t="str">
        <f t="shared" si="17"/>
        <v/>
      </c>
      <c r="T44" s="10" t="str">
        <f t="shared" si="18"/>
        <v/>
      </c>
      <c r="U44" s="11" t="str">
        <f t="shared" si="19"/>
        <v/>
      </c>
      <c r="V44" s="16"/>
    </row>
    <row r="45" spans="1:22" ht="19.5" customHeight="1" x14ac:dyDescent="0.2">
      <c r="A45" s="7" t="s">
        <v>54</v>
      </c>
      <c r="B45" s="8"/>
      <c r="C45" s="8"/>
      <c r="D45" s="8"/>
      <c r="E45" s="9"/>
      <c r="F45" s="9"/>
      <c r="G45" s="9"/>
      <c r="H45" s="10" t="str">
        <f t="shared" si="12"/>
        <v/>
      </c>
      <c r="I45" s="10" t="str">
        <f t="shared" si="13"/>
        <v/>
      </c>
      <c r="J45" s="10" t="str">
        <f t="shared" si="14"/>
        <v/>
      </c>
      <c r="K45" s="11" t="str">
        <f t="shared" si="15"/>
        <v/>
      </c>
      <c r="L45" s="12"/>
      <c r="M45" s="12"/>
      <c r="N45" s="12"/>
      <c r="O45" s="13"/>
      <c r="P45" s="13"/>
      <c r="Q45" s="13"/>
      <c r="R45" s="10" t="str">
        <f t="shared" si="16"/>
        <v/>
      </c>
      <c r="S45" s="10" t="str">
        <f t="shared" si="17"/>
        <v/>
      </c>
      <c r="T45" s="10" t="str">
        <f t="shared" si="18"/>
        <v/>
      </c>
      <c r="U45" s="11" t="str">
        <f t="shared" si="19"/>
        <v/>
      </c>
      <c r="V45" s="14"/>
    </row>
    <row r="46" spans="1:22" ht="19.5" customHeight="1" x14ac:dyDescent="0.2">
      <c r="A46" s="15" t="s">
        <v>55</v>
      </c>
      <c r="B46" s="8"/>
      <c r="C46" s="8"/>
      <c r="D46" s="8"/>
      <c r="E46" s="9"/>
      <c r="F46" s="9"/>
      <c r="G46" s="9"/>
      <c r="H46" s="10" t="str">
        <f t="shared" si="12"/>
        <v/>
      </c>
      <c r="I46" s="10" t="str">
        <f t="shared" si="13"/>
        <v/>
      </c>
      <c r="J46" s="10" t="str">
        <f t="shared" si="14"/>
        <v/>
      </c>
      <c r="K46" s="11" t="str">
        <f t="shared" si="15"/>
        <v/>
      </c>
      <c r="L46" s="12"/>
      <c r="M46" s="12"/>
      <c r="N46" s="12"/>
      <c r="O46" s="13"/>
      <c r="P46" s="13"/>
      <c r="Q46" s="13"/>
      <c r="R46" s="10" t="str">
        <f t="shared" si="16"/>
        <v/>
      </c>
      <c r="S46" s="10" t="str">
        <f t="shared" si="17"/>
        <v/>
      </c>
      <c r="T46" s="10" t="str">
        <f t="shared" si="18"/>
        <v/>
      </c>
      <c r="U46" s="11" t="str">
        <f t="shared" si="19"/>
        <v/>
      </c>
      <c r="V46" s="16"/>
    </row>
    <row r="47" spans="1:22" ht="19.5" customHeight="1" x14ac:dyDescent="0.2">
      <c r="A47" s="7" t="s">
        <v>56</v>
      </c>
      <c r="B47" s="8"/>
      <c r="C47" s="8"/>
      <c r="D47" s="8"/>
      <c r="E47" s="9"/>
      <c r="F47" s="9"/>
      <c r="G47" s="9"/>
      <c r="H47" s="10" t="str">
        <f t="shared" si="12"/>
        <v/>
      </c>
      <c r="I47" s="10" t="str">
        <f t="shared" si="13"/>
        <v/>
      </c>
      <c r="J47" s="10" t="str">
        <f t="shared" si="14"/>
        <v/>
      </c>
      <c r="K47" s="11" t="str">
        <f t="shared" si="15"/>
        <v/>
      </c>
      <c r="L47" s="12"/>
      <c r="M47" s="12"/>
      <c r="N47" s="12"/>
      <c r="O47" s="13"/>
      <c r="P47" s="13"/>
      <c r="Q47" s="13"/>
      <c r="R47" s="10" t="str">
        <f t="shared" si="16"/>
        <v/>
      </c>
      <c r="S47" s="10" t="str">
        <f t="shared" si="17"/>
        <v/>
      </c>
      <c r="T47" s="10" t="str">
        <f t="shared" si="18"/>
        <v/>
      </c>
      <c r="U47" s="11" t="str">
        <f t="shared" si="19"/>
        <v/>
      </c>
      <c r="V47" s="14"/>
    </row>
    <row r="48" spans="1:22" ht="19.5" customHeight="1" x14ac:dyDescent="0.2">
      <c r="A48" s="15" t="s">
        <v>57</v>
      </c>
      <c r="B48" s="8"/>
      <c r="C48" s="8"/>
      <c r="D48" s="8"/>
      <c r="E48" s="9"/>
      <c r="F48" s="9"/>
      <c r="G48" s="9"/>
      <c r="H48" s="10" t="str">
        <f t="shared" si="12"/>
        <v/>
      </c>
      <c r="I48" s="10" t="str">
        <f t="shared" si="13"/>
        <v/>
      </c>
      <c r="J48" s="10" t="str">
        <f t="shared" si="14"/>
        <v/>
      </c>
      <c r="K48" s="11" t="str">
        <f t="shared" si="15"/>
        <v/>
      </c>
      <c r="L48" s="12"/>
      <c r="M48" s="12"/>
      <c r="N48" s="12"/>
      <c r="O48" s="13"/>
      <c r="P48" s="13"/>
      <c r="Q48" s="13"/>
      <c r="R48" s="10" t="str">
        <f t="shared" si="16"/>
        <v/>
      </c>
      <c r="S48" s="10" t="str">
        <f t="shared" si="17"/>
        <v/>
      </c>
      <c r="T48" s="10" t="str">
        <f t="shared" si="18"/>
        <v/>
      </c>
      <c r="U48" s="11" t="str">
        <f t="shared" si="19"/>
        <v/>
      </c>
      <c r="V48" s="16"/>
    </row>
    <row r="49" spans="1:22" ht="19.5" customHeight="1" x14ac:dyDescent="0.2">
      <c r="A49" s="7" t="s">
        <v>58</v>
      </c>
      <c r="B49" s="8"/>
      <c r="C49" s="8"/>
      <c r="D49" s="8"/>
      <c r="E49" s="9"/>
      <c r="F49" s="9"/>
      <c r="G49" s="9"/>
      <c r="H49" s="10" t="str">
        <f t="shared" si="12"/>
        <v/>
      </c>
      <c r="I49" s="10" t="str">
        <f t="shared" si="13"/>
        <v/>
      </c>
      <c r="J49" s="10" t="str">
        <f t="shared" si="14"/>
        <v/>
      </c>
      <c r="K49" s="11" t="str">
        <f t="shared" si="15"/>
        <v/>
      </c>
      <c r="L49" s="12"/>
      <c r="M49" s="12"/>
      <c r="N49" s="12"/>
      <c r="O49" s="13"/>
      <c r="P49" s="13"/>
      <c r="Q49" s="13"/>
      <c r="R49" s="10" t="str">
        <f t="shared" si="16"/>
        <v/>
      </c>
      <c r="S49" s="10" t="str">
        <f t="shared" si="17"/>
        <v/>
      </c>
      <c r="T49" s="10" t="str">
        <f t="shared" si="18"/>
        <v/>
      </c>
      <c r="U49" s="11" t="str">
        <f t="shared" si="19"/>
        <v/>
      </c>
      <c r="V49" s="14"/>
    </row>
    <row r="50" spans="1:22" ht="19.5" customHeight="1" x14ac:dyDescent="0.2">
      <c r="A50" s="15" t="s">
        <v>59</v>
      </c>
      <c r="B50" s="8"/>
      <c r="C50" s="8"/>
      <c r="D50" s="8"/>
      <c r="E50" s="9"/>
      <c r="F50" s="9"/>
      <c r="G50" s="9"/>
      <c r="H50" s="10" t="str">
        <f t="shared" si="12"/>
        <v/>
      </c>
      <c r="I50" s="10" t="str">
        <f t="shared" si="13"/>
        <v/>
      </c>
      <c r="J50" s="10" t="str">
        <f t="shared" si="14"/>
        <v/>
      </c>
      <c r="K50" s="11" t="str">
        <f t="shared" si="15"/>
        <v/>
      </c>
      <c r="L50" s="12"/>
      <c r="M50" s="12"/>
      <c r="N50" s="12"/>
      <c r="O50" s="13"/>
      <c r="P50" s="13"/>
      <c r="Q50" s="13"/>
      <c r="R50" s="10" t="str">
        <f t="shared" si="16"/>
        <v/>
      </c>
      <c r="S50" s="10" t="str">
        <f t="shared" si="17"/>
        <v/>
      </c>
      <c r="T50" s="10" t="str">
        <f t="shared" si="18"/>
        <v/>
      </c>
      <c r="U50" s="11" t="str">
        <f t="shared" si="19"/>
        <v/>
      </c>
      <c r="V50" s="16"/>
    </row>
    <row r="51" spans="1:22" ht="19.5" customHeight="1" x14ac:dyDescent="0.2">
      <c r="A51" s="7" t="s">
        <v>60</v>
      </c>
      <c r="B51" s="8"/>
      <c r="C51" s="8"/>
      <c r="D51" s="8"/>
      <c r="E51" s="9"/>
      <c r="F51" s="9"/>
      <c r="G51" s="9"/>
      <c r="H51" s="10" t="str">
        <f t="shared" si="12"/>
        <v/>
      </c>
      <c r="I51" s="10" t="str">
        <f t="shared" si="13"/>
        <v/>
      </c>
      <c r="J51" s="10" t="str">
        <f t="shared" si="14"/>
        <v/>
      </c>
      <c r="K51" s="11" t="str">
        <f t="shared" si="15"/>
        <v/>
      </c>
      <c r="L51" s="12"/>
      <c r="M51" s="12"/>
      <c r="N51" s="12"/>
      <c r="O51" s="13"/>
      <c r="P51" s="13"/>
      <c r="Q51" s="13"/>
      <c r="R51" s="10" t="str">
        <f t="shared" si="16"/>
        <v/>
      </c>
      <c r="S51" s="10" t="str">
        <f t="shared" si="17"/>
        <v/>
      </c>
      <c r="T51" s="10" t="str">
        <f t="shared" si="18"/>
        <v/>
      </c>
      <c r="U51" s="11" t="str">
        <f t="shared" si="19"/>
        <v/>
      </c>
      <c r="V51" s="14"/>
    </row>
    <row r="52" spans="1:22" ht="19.5" customHeight="1" x14ac:dyDescent="0.2">
      <c r="A52" s="15" t="s">
        <v>61</v>
      </c>
      <c r="B52" s="8"/>
      <c r="C52" s="8"/>
      <c r="D52" s="8"/>
      <c r="E52" s="9"/>
      <c r="F52" s="9"/>
      <c r="G52" s="9"/>
      <c r="H52" s="10" t="str">
        <f t="shared" si="12"/>
        <v/>
      </c>
      <c r="I52" s="10" t="str">
        <f t="shared" si="13"/>
        <v/>
      </c>
      <c r="J52" s="10" t="str">
        <f t="shared" si="14"/>
        <v/>
      </c>
      <c r="K52" s="11" t="str">
        <f t="shared" si="15"/>
        <v/>
      </c>
      <c r="L52" s="12"/>
      <c r="M52" s="12"/>
      <c r="N52" s="12"/>
      <c r="O52" s="13"/>
      <c r="P52" s="13"/>
      <c r="Q52" s="13"/>
      <c r="R52" s="10" t="str">
        <f t="shared" si="16"/>
        <v/>
      </c>
      <c r="S52" s="10" t="str">
        <f t="shared" si="17"/>
        <v/>
      </c>
      <c r="T52" s="10" t="str">
        <f t="shared" si="18"/>
        <v/>
      </c>
      <c r="U52" s="11" t="str">
        <f t="shared" si="19"/>
        <v/>
      </c>
      <c r="V52" s="16"/>
    </row>
    <row r="53" spans="1:22" ht="19.5" customHeight="1" x14ac:dyDescent="0.2">
      <c r="A53" s="7" t="s">
        <v>62</v>
      </c>
      <c r="B53" s="8"/>
      <c r="C53" s="8"/>
      <c r="D53" s="8"/>
      <c r="E53" s="9"/>
      <c r="F53" s="9"/>
      <c r="G53" s="9"/>
      <c r="H53" s="10" t="str">
        <f t="shared" si="12"/>
        <v/>
      </c>
      <c r="I53" s="10" t="str">
        <f t="shared" si="13"/>
        <v/>
      </c>
      <c r="J53" s="10" t="str">
        <f t="shared" si="14"/>
        <v/>
      </c>
      <c r="K53" s="11" t="str">
        <f t="shared" si="15"/>
        <v/>
      </c>
      <c r="L53" s="12"/>
      <c r="M53" s="12"/>
      <c r="N53" s="12"/>
      <c r="O53" s="13"/>
      <c r="P53" s="13"/>
      <c r="Q53" s="13"/>
      <c r="R53" s="10" t="str">
        <f t="shared" si="16"/>
        <v/>
      </c>
      <c r="S53" s="10" t="str">
        <f t="shared" si="17"/>
        <v/>
      </c>
      <c r="T53" s="10" t="str">
        <f t="shared" si="18"/>
        <v/>
      </c>
      <c r="U53" s="11" t="str">
        <f t="shared" si="19"/>
        <v/>
      </c>
      <c r="V53" s="14"/>
    </row>
    <row r="54" spans="1:22" ht="19.5" customHeight="1" x14ac:dyDescent="0.2">
      <c r="A54" s="15" t="s">
        <v>63</v>
      </c>
      <c r="B54" s="8"/>
      <c r="C54" s="8"/>
      <c r="D54" s="8"/>
      <c r="E54" s="9"/>
      <c r="F54" s="9"/>
      <c r="G54" s="9"/>
      <c r="H54" s="10" t="str">
        <f t="shared" si="12"/>
        <v/>
      </c>
      <c r="I54" s="10" t="str">
        <f t="shared" si="13"/>
        <v/>
      </c>
      <c r="J54" s="10" t="str">
        <f t="shared" si="14"/>
        <v/>
      </c>
      <c r="K54" s="11" t="str">
        <f t="shared" si="15"/>
        <v/>
      </c>
      <c r="L54" s="12"/>
      <c r="M54" s="12"/>
      <c r="N54" s="12"/>
      <c r="O54" s="13"/>
      <c r="P54" s="13"/>
      <c r="Q54" s="13"/>
      <c r="R54" s="10" t="str">
        <f t="shared" si="16"/>
        <v/>
      </c>
      <c r="S54" s="10" t="str">
        <f t="shared" si="17"/>
        <v/>
      </c>
      <c r="T54" s="10" t="str">
        <f t="shared" si="18"/>
        <v/>
      </c>
      <c r="U54" s="11" t="str">
        <f t="shared" si="19"/>
        <v/>
      </c>
      <c r="V54" s="16"/>
    </row>
    <row r="55" spans="1:22" ht="19.5" customHeight="1" x14ac:dyDescent="0.2">
      <c r="A55" s="7" t="s">
        <v>64</v>
      </c>
      <c r="B55" s="8"/>
      <c r="C55" s="8"/>
      <c r="D55" s="8"/>
      <c r="E55" s="9"/>
      <c r="F55" s="9"/>
      <c r="G55" s="9"/>
      <c r="H55" s="10" t="str">
        <f t="shared" si="12"/>
        <v/>
      </c>
      <c r="I55" s="10" t="str">
        <f t="shared" si="13"/>
        <v/>
      </c>
      <c r="J55" s="10" t="str">
        <f t="shared" si="14"/>
        <v/>
      </c>
      <c r="K55" s="11" t="str">
        <f t="shared" si="15"/>
        <v/>
      </c>
      <c r="L55" s="12"/>
      <c r="M55" s="12"/>
      <c r="N55" s="12"/>
      <c r="O55" s="13"/>
      <c r="P55" s="13"/>
      <c r="Q55" s="13"/>
      <c r="R55" s="10" t="str">
        <f t="shared" si="16"/>
        <v/>
      </c>
      <c r="S55" s="10" t="str">
        <f t="shared" si="17"/>
        <v/>
      </c>
      <c r="T55" s="10" t="str">
        <f t="shared" si="18"/>
        <v/>
      </c>
      <c r="U55" s="11" t="str">
        <f t="shared" si="19"/>
        <v/>
      </c>
      <c r="V55" s="14"/>
    </row>
    <row r="56" spans="1:22" ht="19.5" customHeight="1" x14ac:dyDescent="0.2">
      <c r="A56" s="15" t="s">
        <v>65</v>
      </c>
      <c r="B56" s="8"/>
      <c r="C56" s="8"/>
      <c r="D56" s="8"/>
      <c r="E56" s="9"/>
      <c r="F56" s="9"/>
      <c r="G56" s="9"/>
      <c r="H56" s="10" t="str">
        <f t="shared" si="12"/>
        <v/>
      </c>
      <c r="I56" s="10" t="str">
        <f t="shared" si="13"/>
        <v/>
      </c>
      <c r="J56" s="10" t="str">
        <f t="shared" si="14"/>
        <v/>
      </c>
      <c r="K56" s="11" t="str">
        <f t="shared" si="15"/>
        <v/>
      </c>
      <c r="L56" s="12"/>
      <c r="M56" s="12"/>
      <c r="N56" s="12"/>
      <c r="O56" s="13"/>
      <c r="P56" s="13"/>
      <c r="Q56" s="13"/>
      <c r="R56" s="10" t="str">
        <f t="shared" si="16"/>
        <v/>
      </c>
      <c r="S56" s="10" t="str">
        <f t="shared" si="17"/>
        <v/>
      </c>
      <c r="T56" s="10" t="str">
        <f t="shared" si="18"/>
        <v/>
      </c>
      <c r="U56" s="11" t="str">
        <f t="shared" si="19"/>
        <v/>
      </c>
      <c r="V56" s="16"/>
    </row>
    <row r="57" spans="1:22" ht="19.5" customHeight="1" x14ac:dyDescent="0.2">
      <c r="A57" s="7" t="s">
        <v>66</v>
      </c>
      <c r="B57" s="8"/>
      <c r="C57" s="8"/>
      <c r="D57" s="8"/>
      <c r="E57" s="9"/>
      <c r="F57" s="9"/>
      <c r="G57" s="9"/>
      <c r="H57" s="10" t="str">
        <f t="shared" si="12"/>
        <v/>
      </c>
      <c r="I57" s="10" t="str">
        <f t="shared" si="13"/>
        <v/>
      </c>
      <c r="J57" s="10" t="str">
        <f t="shared" si="14"/>
        <v/>
      </c>
      <c r="K57" s="11" t="str">
        <f t="shared" si="15"/>
        <v/>
      </c>
      <c r="L57" s="12"/>
      <c r="M57" s="12"/>
      <c r="N57" s="12"/>
      <c r="O57" s="13"/>
      <c r="P57" s="13"/>
      <c r="Q57" s="13"/>
      <c r="R57" s="10" t="str">
        <f t="shared" si="16"/>
        <v/>
      </c>
      <c r="S57" s="10" t="str">
        <f t="shared" si="17"/>
        <v/>
      </c>
      <c r="T57" s="10" t="str">
        <f t="shared" si="18"/>
        <v/>
      </c>
      <c r="U57" s="11" t="str">
        <f t="shared" si="19"/>
        <v/>
      </c>
      <c r="V57" s="14"/>
    </row>
    <row r="58" spans="1:22" ht="19.5" customHeight="1" x14ac:dyDescent="0.2">
      <c r="A58" s="15" t="s">
        <v>67</v>
      </c>
      <c r="B58" s="8"/>
      <c r="C58" s="8"/>
      <c r="D58" s="8"/>
      <c r="E58" s="9"/>
      <c r="F58" s="9"/>
      <c r="G58" s="9"/>
      <c r="H58" s="10" t="str">
        <f t="shared" si="12"/>
        <v/>
      </c>
      <c r="I58" s="10" t="str">
        <f t="shared" si="13"/>
        <v/>
      </c>
      <c r="J58" s="10" t="str">
        <f t="shared" si="14"/>
        <v/>
      </c>
      <c r="K58" s="11" t="str">
        <f t="shared" si="15"/>
        <v/>
      </c>
      <c r="L58" s="12"/>
      <c r="M58" s="12"/>
      <c r="N58" s="12"/>
      <c r="O58" s="13"/>
      <c r="P58" s="13"/>
      <c r="Q58" s="13"/>
      <c r="R58" s="10" t="str">
        <f t="shared" si="16"/>
        <v/>
      </c>
      <c r="S58" s="10" t="str">
        <f t="shared" si="17"/>
        <v/>
      </c>
      <c r="T58" s="10" t="str">
        <f t="shared" si="18"/>
        <v/>
      </c>
      <c r="U58" s="11" t="str">
        <f t="shared" si="19"/>
        <v/>
      </c>
      <c r="V58" s="16"/>
    </row>
    <row r="59" spans="1:22" ht="19.5" customHeight="1" x14ac:dyDescent="0.2">
      <c r="A59" s="7" t="s">
        <v>68</v>
      </c>
      <c r="B59" s="8"/>
      <c r="C59" s="8"/>
      <c r="D59" s="8"/>
      <c r="E59" s="9"/>
      <c r="F59" s="9"/>
      <c r="G59" s="9"/>
      <c r="H59" s="10" t="str">
        <f t="shared" si="12"/>
        <v/>
      </c>
      <c r="I59" s="10" t="str">
        <f t="shared" si="13"/>
        <v/>
      </c>
      <c r="J59" s="10" t="str">
        <f t="shared" si="14"/>
        <v/>
      </c>
      <c r="K59" s="11" t="str">
        <f t="shared" si="15"/>
        <v/>
      </c>
      <c r="L59" s="12"/>
      <c r="M59" s="12"/>
      <c r="N59" s="12"/>
      <c r="O59" s="13"/>
      <c r="P59" s="13"/>
      <c r="Q59" s="13"/>
      <c r="R59" s="10" t="str">
        <f t="shared" si="16"/>
        <v/>
      </c>
      <c r="S59" s="10" t="str">
        <f t="shared" si="17"/>
        <v/>
      </c>
      <c r="T59" s="10" t="str">
        <f t="shared" si="18"/>
        <v/>
      </c>
      <c r="U59" s="11" t="str">
        <f t="shared" si="19"/>
        <v/>
      </c>
      <c r="V59" s="14"/>
    </row>
    <row r="60" spans="1:22" ht="19.5" customHeight="1" x14ac:dyDescent="0.2">
      <c r="A60" s="15" t="s">
        <v>69</v>
      </c>
      <c r="B60" s="8"/>
      <c r="C60" s="8"/>
      <c r="D60" s="8"/>
      <c r="E60" s="9"/>
      <c r="F60" s="9"/>
      <c r="G60" s="9"/>
      <c r="H60" s="10" t="str">
        <f t="shared" si="12"/>
        <v/>
      </c>
      <c r="I60" s="10" t="str">
        <f t="shared" si="13"/>
        <v/>
      </c>
      <c r="J60" s="10" t="str">
        <f t="shared" si="14"/>
        <v/>
      </c>
      <c r="K60" s="11" t="str">
        <f t="shared" si="15"/>
        <v/>
      </c>
      <c r="L60" s="12"/>
      <c r="M60" s="12"/>
      <c r="N60" s="12"/>
      <c r="O60" s="13"/>
      <c r="P60" s="13"/>
      <c r="Q60" s="13"/>
      <c r="R60" s="10" t="str">
        <f t="shared" si="16"/>
        <v/>
      </c>
      <c r="S60" s="10" t="str">
        <f t="shared" si="17"/>
        <v/>
      </c>
      <c r="T60" s="10" t="str">
        <f t="shared" si="18"/>
        <v/>
      </c>
      <c r="U60" s="11" t="str">
        <f t="shared" si="19"/>
        <v/>
      </c>
      <c r="V60" s="16"/>
    </row>
    <row r="61" spans="1:22" ht="19.5" customHeight="1" x14ac:dyDescent="0.2">
      <c r="A61" s="7" t="s">
        <v>70</v>
      </c>
      <c r="B61" s="8"/>
      <c r="C61" s="8"/>
      <c r="D61" s="8"/>
      <c r="E61" s="9"/>
      <c r="F61" s="9"/>
      <c r="G61" s="9"/>
      <c r="H61" s="10" t="str">
        <f t="shared" si="12"/>
        <v/>
      </c>
      <c r="I61" s="10" t="str">
        <f t="shared" si="13"/>
        <v/>
      </c>
      <c r="J61" s="10" t="str">
        <f t="shared" si="14"/>
        <v/>
      </c>
      <c r="K61" s="11" t="str">
        <f t="shared" si="15"/>
        <v/>
      </c>
      <c r="L61" s="12"/>
      <c r="M61" s="12"/>
      <c r="N61" s="12"/>
      <c r="O61" s="13"/>
      <c r="P61" s="13"/>
      <c r="Q61" s="13"/>
      <c r="R61" s="10" t="str">
        <f t="shared" si="16"/>
        <v/>
      </c>
      <c r="S61" s="10" t="str">
        <f t="shared" si="17"/>
        <v/>
      </c>
      <c r="T61" s="10" t="str">
        <f t="shared" si="18"/>
        <v/>
      </c>
      <c r="U61" s="11" t="str">
        <f t="shared" si="19"/>
        <v/>
      </c>
      <c r="V61" s="14"/>
    </row>
    <row r="62" spans="1:22" ht="19.5" customHeight="1" x14ac:dyDescent="0.2">
      <c r="A62" s="15" t="s">
        <v>71</v>
      </c>
      <c r="B62" s="8"/>
      <c r="C62" s="8"/>
      <c r="D62" s="8"/>
      <c r="E62" s="9"/>
      <c r="F62" s="9"/>
      <c r="G62" s="9"/>
      <c r="H62" s="10" t="str">
        <f t="shared" si="12"/>
        <v/>
      </c>
      <c r="I62" s="10" t="str">
        <f t="shared" si="13"/>
        <v/>
      </c>
      <c r="J62" s="10" t="str">
        <f t="shared" si="14"/>
        <v/>
      </c>
      <c r="K62" s="11" t="str">
        <f t="shared" si="15"/>
        <v/>
      </c>
      <c r="L62" s="12"/>
      <c r="M62" s="12"/>
      <c r="N62" s="12"/>
      <c r="O62" s="13"/>
      <c r="P62" s="13"/>
      <c r="Q62" s="13"/>
      <c r="R62" s="10" t="str">
        <f t="shared" si="16"/>
        <v/>
      </c>
      <c r="S62" s="10" t="str">
        <f t="shared" si="17"/>
        <v/>
      </c>
      <c r="T62" s="10" t="str">
        <f t="shared" si="18"/>
        <v/>
      </c>
      <c r="U62" s="11" t="str">
        <f t="shared" si="19"/>
        <v/>
      </c>
      <c r="V62" s="16"/>
    </row>
    <row r="63" spans="1:22" ht="19.5" customHeight="1" x14ac:dyDescent="0.2">
      <c r="A63" s="7" t="s">
        <v>72</v>
      </c>
      <c r="B63" s="8"/>
      <c r="C63" s="8"/>
      <c r="D63" s="8"/>
      <c r="E63" s="9"/>
      <c r="F63" s="9"/>
      <c r="G63" s="9"/>
      <c r="H63" s="10" t="str">
        <f t="shared" si="12"/>
        <v/>
      </c>
      <c r="I63" s="10" t="str">
        <f t="shared" si="13"/>
        <v/>
      </c>
      <c r="J63" s="10" t="str">
        <f t="shared" si="14"/>
        <v/>
      </c>
      <c r="K63" s="11" t="str">
        <f t="shared" si="15"/>
        <v/>
      </c>
      <c r="L63" s="12"/>
      <c r="M63" s="12"/>
      <c r="N63" s="12"/>
      <c r="O63" s="13"/>
      <c r="P63" s="13"/>
      <c r="Q63" s="13"/>
      <c r="R63" s="10" t="str">
        <f t="shared" si="16"/>
        <v/>
      </c>
      <c r="S63" s="10" t="str">
        <f t="shared" si="17"/>
        <v/>
      </c>
      <c r="T63" s="10" t="str">
        <f t="shared" si="18"/>
        <v/>
      </c>
      <c r="U63" s="11" t="str">
        <f t="shared" si="19"/>
        <v/>
      </c>
      <c r="V63" s="14"/>
    </row>
    <row r="64" spans="1:22" ht="19.5" customHeight="1" x14ac:dyDescent="0.2">
      <c r="A64" s="15" t="s">
        <v>73</v>
      </c>
      <c r="B64" s="8"/>
      <c r="C64" s="8"/>
      <c r="D64" s="8"/>
      <c r="E64" s="9"/>
      <c r="F64" s="9"/>
      <c r="G64" s="9"/>
      <c r="H64" s="10" t="str">
        <f t="shared" si="12"/>
        <v/>
      </c>
      <c r="I64" s="10" t="str">
        <f t="shared" si="13"/>
        <v/>
      </c>
      <c r="J64" s="10" t="str">
        <f t="shared" si="14"/>
        <v/>
      </c>
      <c r="K64" s="11" t="str">
        <f t="shared" si="15"/>
        <v/>
      </c>
      <c r="L64" s="12"/>
      <c r="M64" s="12"/>
      <c r="N64" s="12"/>
      <c r="O64" s="13"/>
      <c r="P64" s="13"/>
      <c r="Q64" s="13"/>
      <c r="R64" s="10" t="str">
        <f t="shared" si="16"/>
        <v/>
      </c>
      <c r="S64" s="10" t="str">
        <f t="shared" si="17"/>
        <v/>
      </c>
      <c r="T64" s="10" t="str">
        <f t="shared" si="18"/>
        <v/>
      </c>
      <c r="U64" s="11" t="str">
        <f t="shared" si="19"/>
        <v/>
      </c>
      <c r="V64" s="16"/>
    </row>
    <row r="65" spans="1:22" ht="19.5" customHeight="1" x14ac:dyDescent="0.2">
      <c r="A65" s="7" t="s">
        <v>74</v>
      </c>
      <c r="B65" s="8"/>
      <c r="C65" s="8"/>
      <c r="D65" s="8"/>
      <c r="E65" s="9"/>
      <c r="F65" s="9"/>
      <c r="G65" s="9"/>
      <c r="H65" s="10" t="str">
        <f t="shared" si="12"/>
        <v/>
      </c>
      <c r="I65" s="10" t="str">
        <f t="shared" si="13"/>
        <v/>
      </c>
      <c r="J65" s="10" t="str">
        <f t="shared" si="14"/>
        <v/>
      </c>
      <c r="K65" s="11" t="str">
        <f t="shared" si="15"/>
        <v/>
      </c>
      <c r="L65" s="12"/>
      <c r="M65" s="12"/>
      <c r="N65" s="12"/>
      <c r="O65" s="13"/>
      <c r="P65" s="13"/>
      <c r="Q65" s="13"/>
      <c r="R65" s="10" t="str">
        <f t="shared" si="16"/>
        <v/>
      </c>
      <c r="S65" s="10" t="str">
        <f t="shared" si="17"/>
        <v/>
      </c>
      <c r="T65" s="10" t="str">
        <f t="shared" si="18"/>
        <v/>
      </c>
      <c r="U65" s="11" t="str">
        <f t="shared" si="19"/>
        <v/>
      </c>
      <c r="V65" s="14"/>
    </row>
    <row r="66" spans="1:22" ht="19.5" customHeight="1" x14ac:dyDescent="0.2">
      <c r="A66" s="15" t="s">
        <v>75</v>
      </c>
      <c r="B66" s="8"/>
      <c r="C66" s="8"/>
      <c r="D66" s="8"/>
      <c r="E66" s="9"/>
      <c r="F66" s="9"/>
      <c r="G66" s="9"/>
      <c r="H66" s="10" t="str">
        <f t="shared" si="12"/>
        <v/>
      </c>
      <c r="I66" s="10" t="str">
        <f t="shared" si="13"/>
        <v/>
      </c>
      <c r="J66" s="10" t="str">
        <f t="shared" si="14"/>
        <v/>
      </c>
      <c r="K66" s="11" t="str">
        <f t="shared" si="15"/>
        <v/>
      </c>
      <c r="L66" s="12"/>
      <c r="M66" s="12"/>
      <c r="N66" s="12"/>
      <c r="O66" s="13"/>
      <c r="P66" s="13"/>
      <c r="Q66" s="13"/>
      <c r="R66" s="10" t="str">
        <f t="shared" si="16"/>
        <v/>
      </c>
      <c r="S66" s="10" t="str">
        <f t="shared" si="17"/>
        <v/>
      </c>
      <c r="T66" s="10" t="str">
        <f t="shared" si="18"/>
        <v/>
      </c>
      <c r="U66" s="11" t="str">
        <f t="shared" si="19"/>
        <v/>
      </c>
      <c r="V66" s="16"/>
    </row>
    <row r="67" spans="1:22" ht="19.5" customHeight="1" x14ac:dyDescent="0.2">
      <c r="A67" s="7" t="s">
        <v>76</v>
      </c>
      <c r="B67" s="8"/>
      <c r="C67" s="8"/>
      <c r="D67" s="8"/>
      <c r="E67" s="9"/>
      <c r="F67" s="9"/>
      <c r="G67" s="9"/>
      <c r="H67" s="10" t="str">
        <f t="shared" si="12"/>
        <v/>
      </c>
      <c r="I67" s="10" t="str">
        <f t="shared" si="13"/>
        <v/>
      </c>
      <c r="J67" s="10" t="str">
        <f t="shared" si="14"/>
        <v/>
      </c>
      <c r="K67" s="11" t="str">
        <f t="shared" si="15"/>
        <v/>
      </c>
      <c r="L67" s="12"/>
      <c r="M67" s="12"/>
      <c r="N67" s="12"/>
      <c r="O67" s="13"/>
      <c r="P67" s="13"/>
      <c r="Q67" s="13"/>
      <c r="R67" s="10" t="str">
        <f t="shared" si="16"/>
        <v/>
      </c>
      <c r="S67" s="10" t="str">
        <f t="shared" si="17"/>
        <v/>
      </c>
      <c r="T67" s="10" t="str">
        <f t="shared" si="18"/>
        <v/>
      </c>
      <c r="U67" s="11" t="str">
        <f t="shared" si="19"/>
        <v/>
      </c>
      <c r="V67" s="14"/>
    </row>
    <row r="68" spans="1:22" ht="19.5" customHeight="1" x14ac:dyDescent="0.2">
      <c r="A68" s="15" t="s">
        <v>77</v>
      </c>
      <c r="B68" s="8"/>
      <c r="C68" s="8"/>
      <c r="D68" s="8"/>
      <c r="E68" s="9"/>
      <c r="F68" s="9"/>
      <c r="G68" s="9"/>
      <c r="H68" s="10" t="str">
        <f t="shared" si="12"/>
        <v/>
      </c>
      <c r="I68" s="10" t="str">
        <f t="shared" si="13"/>
        <v/>
      </c>
      <c r="J68" s="10" t="str">
        <f t="shared" si="14"/>
        <v/>
      </c>
      <c r="K68" s="11" t="str">
        <f t="shared" si="15"/>
        <v/>
      </c>
      <c r="L68" s="12"/>
      <c r="M68" s="12"/>
      <c r="N68" s="12"/>
      <c r="O68" s="13"/>
      <c r="P68" s="13"/>
      <c r="Q68" s="13"/>
      <c r="R68" s="10" t="str">
        <f t="shared" si="16"/>
        <v/>
      </c>
      <c r="S68" s="10" t="str">
        <f t="shared" si="17"/>
        <v/>
      </c>
      <c r="T68" s="10" t="str">
        <f t="shared" si="18"/>
        <v/>
      </c>
      <c r="U68" s="11" t="str">
        <f t="shared" si="19"/>
        <v/>
      </c>
      <c r="V68" s="16"/>
    </row>
    <row r="69" spans="1:22" ht="19.5" customHeight="1" x14ac:dyDescent="0.2">
      <c r="A69" s="7" t="s">
        <v>78</v>
      </c>
      <c r="B69" s="8"/>
      <c r="C69" s="8"/>
      <c r="D69" s="8"/>
      <c r="E69" s="9"/>
      <c r="F69" s="9"/>
      <c r="G69" s="9"/>
      <c r="H69" s="10" t="str">
        <f t="shared" ref="H69:H94" si="20">IF(AND(B69="",E69=""),"",IFERROR(AVERAGE(B69,E69),IF(B69&lt;&gt;"",B69,E69)))</f>
        <v/>
      </c>
      <c r="I69" s="10" t="str">
        <f t="shared" ref="I69:I94" si="21">IF(AND(C69="",F69=""),"",IFERROR(AVERAGE(C69,F69),IF(C69&lt;&gt;"",C69,F69)))</f>
        <v/>
      </c>
      <c r="J69" s="10" t="str">
        <f t="shared" ref="J69:J94" si="22">IF(AND(D69="",G69=""),"",IFERROR(AVERAGE(D69,G69),IF(D69&lt;&gt;"",D69,G69)))</f>
        <v/>
      </c>
      <c r="K69" s="11" t="str">
        <f t="shared" ref="K69:K94" si="23">IF(AND(H69="",I69=""),"",IF(OR(H69&gt;=180,I69&gt;=120),"!!! Krize",IF(OR(H69&gt;=140,I69&gt;=90),"Vysoký",IF(OR(H69&gt;=130,I69&gt;=80),"Zvýšený",IF(OR(H69&lt;=90,I69&lt;=60),"Nízký","Normální")))))</f>
        <v/>
      </c>
      <c r="L69" s="12"/>
      <c r="M69" s="12"/>
      <c r="N69" s="12"/>
      <c r="O69" s="13"/>
      <c r="P69" s="13"/>
      <c r="Q69" s="13"/>
      <c r="R69" s="10" t="str">
        <f t="shared" ref="R69:R94" si="24">IF(AND(L69="",O69=""),"",IFERROR(AVERAGE(L69,O69),IF(L69&lt;&gt;"",L69,O69)))</f>
        <v/>
      </c>
      <c r="S69" s="10" t="str">
        <f t="shared" ref="S69:S94" si="25">IF(AND(M69="",P69=""),"",IFERROR(AVERAGE(M69,P69),IF(M69&lt;&gt;"",M69,P69)))</f>
        <v/>
      </c>
      <c r="T69" s="10" t="str">
        <f t="shared" ref="T69:T94" si="26">IF(AND(N69="",Q69=""),"",IFERROR(AVERAGE(N69,Q69),IF(N69&lt;&gt;"",N69,Q69)))</f>
        <v/>
      </c>
      <c r="U69" s="11" t="str">
        <f t="shared" ref="U69:U94" si="27">IF(AND(R69="",S69=""),"",IF(OR(R69&gt;=180,S69&gt;=120),"!!! Krize",IF(OR(R69&gt;=140,S69&gt;=90),"Vysoký",IF(OR(R69&gt;=130,S69&gt;=80),"Zvýšený",IF(OR(R69&lt;=90,S69&lt;=60),"Nízký","Normální")))))</f>
        <v/>
      </c>
      <c r="V69" s="14"/>
    </row>
    <row r="70" spans="1:22" ht="19.5" customHeight="1" x14ac:dyDescent="0.2">
      <c r="A70" s="15" t="s">
        <v>79</v>
      </c>
      <c r="B70" s="8"/>
      <c r="C70" s="8"/>
      <c r="D70" s="8"/>
      <c r="E70" s="9"/>
      <c r="F70" s="9"/>
      <c r="G70" s="9"/>
      <c r="H70" s="10" t="str">
        <f t="shared" si="20"/>
        <v/>
      </c>
      <c r="I70" s="10" t="str">
        <f t="shared" si="21"/>
        <v/>
      </c>
      <c r="J70" s="10" t="str">
        <f t="shared" si="22"/>
        <v/>
      </c>
      <c r="K70" s="11" t="str">
        <f t="shared" si="23"/>
        <v/>
      </c>
      <c r="L70" s="12"/>
      <c r="M70" s="12"/>
      <c r="N70" s="12"/>
      <c r="O70" s="13"/>
      <c r="P70" s="13"/>
      <c r="Q70" s="13"/>
      <c r="R70" s="10" t="str">
        <f t="shared" si="24"/>
        <v/>
      </c>
      <c r="S70" s="10" t="str">
        <f t="shared" si="25"/>
        <v/>
      </c>
      <c r="T70" s="10" t="str">
        <f t="shared" si="26"/>
        <v/>
      </c>
      <c r="U70" s="11" t="str">
        <f t="shared" si="27"/>
        <v/>
      </c>
      <c r="V70" s="16"/>
    </row>
    <row r="71" spans="1:22" ht="19.5" customHeight="1" x14ac:dyDescent="0.2">
      <c r="A71" s="7" t="s">
        <v>80</v>
      </c>
      <c r="B71" s="8"/>
      <c r="C71" s="8"/>
      <c r="D71" s="8"/>
      <c r="E71" s="9"/>
      <c r="F71" s="9"/>
      <c r="G71" s="9"/>
      <c r="H71" s="10" t="str">
        <f t="shared" si="20"/>
        <v/>
      </c>
      <c r="I71" s="10" t="str">
        <f t="shared" si="21"/>
        <v/>
      </c>
      <c r="J71" s="10" t="str">
        <f t="shared" si="22"/>
        <v/>
      </c>
      <c r="K71" s="11" t="str">
        <f t="shared" si="23"/>
        <v/>
      </c>
      <c r="L71" s="12"/>
      <c r="M71" s="12"/>
      <c r="N71" s="12"/>
      <c r="O71" s="13"/>
      <c r="P71" s="13"/>
      <c r="Q71" s="13"/>
      <c r="R71" s="10" t="str">
        <f t="shared" si="24"/>
        <v/>
      </c>
      <c r="S71" s="10" t="str">
        <f t="shared" si="25"/>
        <v/>
      </c>
      <c r="T71" s="10" t="str">
        <f t="shared" si="26"/>
        <v/>
      </c>
      <c r="U71" s="11" t="str">
        <f t="shared" si="27"/>
        <v/>
      </c>
      <c r="V71" s="14"/>
    </row>
    <row r="72" spans="1:22" ht="19.5" customHeight="1" x14ac:dyDescent="0.2">
      <c r="A72" s="15" t="s">
        <v>81</v>
      </c>
      <c r="B72" s="8"/>
      <c r="C72" s="8"/>
      <c r="D72" s="8"/>
      <c r="E72" s="9"/>
      <c r="F72" s="9"/>
      <c r="G72" s="9"/>
      <c r="H72" s="10" t="str">
        <f t="shared" si="20"/>
        <v/>
      </c>
      <c r="I72" s="10" t="str">
        <f t="shared" si="21"/>
        <v/>
      </c>
      <c r="J72" s="10" t="str">
        <f t="shared" si="22"/>
        <v/>
      </c>
      <c r="K72" s="11" t="str">
        <f t="shared" si="23"/>
        <v/>
      </c>
      <c r="L72" s="12"/>
      <c r="M72" s="12"/>
      <c r="N72" s="12"/>
      <c r="O72" s="13"/>
      <c r="P72" s="13"/>
      <c r="Q72" s="13"/>
      <c r="R72" s="10" t="str">
        <f t="shared" si="24"/>
        <v/>
      </c>
      <c r="S72" s="10" t="str">
        <f t="shared" si="25"/>
        <v/>
      </c>
      <c r="T72" s="10" t="str">
        <f t="shared" si="26"/>
        <v/>
      </c>
      <c r="U72" s="11" t="str">
        <f t="shared" si="27"/>
        <v/>
      </c>
      <c r="V72" s="16"/>
    </row>
    <row r="73" spans="1:22" ht="19.5" customHeight="1" x14ac:dyDescent="0.2">
      <c r="A73" s="7" t="s">
        <v>82</v>
      </c>
      <c r="B73" s="8"/>
      <c r="C73" s="8"/>
      <c r="D73" s="8"/>
      <c r="E73" s="9"/>
      <c r="F73" s="9"/>
      <c r="G73" s="9"/>
      <c r="H73" s="10" t="str">
        <f t="shared" si="20"/>
        <v/>
      </c>
      <c r="I73" s="10" t="str">
        <f t="shared" si="21"/>
        <v/>
      </c>
      <c r="J73" s="10" t="str">
        <f t="shared" si="22"/>
        <v/>
      </c>
      <c r="K73" s="11" t="str">
        <f t="shared" si="23"/>
        <v/>
      </c>
      <c r="L73" s="12"/>
      <c r="M73" s="12"/>
      <c r="N73" s="12"/>
      <c r="O73" s="13"/>
      <c r="P73" s="13"/>
      <c r="Q73" s="13"/>
      <c r="R73" s="10" t="str">
        <f t="shared" si="24"/>
        <v/>
      </c>
      <c r="S73" s="10" t="str">
        <f t="shared" si="25"/>
        <v/>
      </c>
      <c r="T73" s="10" t="str">
        <f t="shared" si="26"/>
        <v/>
      </c>
      <c r="U73" s="11" t="str">
        <f t="shared" si="27"/>
        <v/>
      </c>
      <c r="V73" s="14"/>
    </row>
    <row r="74" spans="1:22" ht="19.5" customHeight="1" x14ac:dyDescent="0.2">
      <c r="A74" s="15" t="s">
        <v>83</v>
      </c>
      <c r="B74" s="8"/>
      <c r="C74" s="8"/>
      <c r="D74" s="8"/>
      <c r="E74" s="9"/>
      <c r="F74" s="9"/>
      <c r="G74" s="9"/>
      <c r="H74" s="10" t="str">
        <f t="shared" si="20"/>
        <v/>
      </c>
      <c r="I74" s="10" t="str">
        <f t="shared" si="21"/>
        <v/>
      </c>
      <c r="J74" s="10" t="str">
        <f t="shared" si="22"/>
        <v/>
      </c>
      <c r="K74" s="11" t="str">
        <f t="shared" si="23"/>
        <v/>
      </c>
      <c r="L74" s="12"/>
      <c r="M74" s="12"/>
      <c r="N74" s="12"/>
      <c r="O74" s="13"/>
      <c r="P74" s="13"/>
      <c r="Q74" s="13"/>
      <c r="R74" s="10" t="str">
        <f t="shared" si="24"/>
        <v/>
      </c>
      <c r="S74" s="10" t="str">
        <f t="shared" si="25"/>
        <v/>
      </c>
      <c r="T74" s="10" t="str">
        <f t="shared" si="26"/>
        <v/>
      </c>
      <c r="U74" s="11" t="str">
        <f t="shared" si="27"/>
        <v/>
      </c>
      <c r="V74" s="16"/>
    </row>
    <row r="75" spans="1:22" ht="19.5" customHeight="1" x14ac:dyDescent="0.2">
      <c r="A75" s="7" t="s">
        <v>84</v>
      </c>
      <c r="B75" s="8"/>
      <c r="C75" s="8"/>
      <c r="D75" s="8"/>
      <c r="E75" s="9"/>
      <c r="F75" s="9"/>
      <c r="G75" s="9"/>
      <c r="H75" s="10" t="str">
        <f t="shared" si="20"/>
        <v/>
      </c>
      <c r="I75" s="10" t="str">
        <f t="shared" si="21"/>
        <v/>
      </c>
      <c r="J75" s="10" t="str">
        <f t="shared" si="22"/>
        <v/>
      </c>
      <c r="K75" s="11" t="str">
        <f t="shared" si="23"/>
        <v/>
      </c>
      <c r="L75" s="12"/>
      <c r="M75" s="12"/>
      <c r="N75" s="12"/>
      <c r="O75" s="13"/>
      <c r="P75" s="13"/>
      <c r="Q75" s="13"/>
      <c r="R75" s="10" t="str">
        <f t="shared" si="24"/>
        <v/>
      </c>
      <c r="S75" s="10" t="str">
        <f t="shared" si="25"/>
        <v/>
      </c>
      <c r="T75" s="10" t="str">
        <f t="shared" si="26"/>
        <v/>
      </c>
      <c r="U75" s="11" t="str">
        <f t="shared" si="27"/>
        <v/>
      </c>
      <c r="V75" s="14"/>
    </row>
    <row r="76" spans="1:22" ht="19.5" customHeight="1" x14ac:dyDescent="0.2">
      <c r="A76" s="15" t="s">
        <v>85</v>
      </c>
      <c r="B76" s="8"/>
      <c r="C76" s="8"/>
      <c r="D76" s="8"/>
      <c r="E76" s="9"/>
      <c r="F76" s="9"/>
      <c r="G76" s="9"/>
      <c r="H76" s="10" t="str">
        <f t="shared" si="20"/>
        <v/>
      </c>
      <c r="I76" s="10" t="str">
        <f t="shared" si="21"/>
        <v/>
      </c>
      <c r="J76" s="10" t="str">
        <f t="shared" si="22"/>
        <v/>
      </c>
      <c r="K76" s="11" t="str">
        <f t="shared" si="23"/>
        <v/>
      </c>
      <c r="L76" s="12"/>
      <c r="M76" s="12"/>
      <c r="N76" s="12"/>
      <c r="O76" s="13"/>
      <c r="P76" s="13"/>
      <c r="Q76" s="13"/>
      <c r="R76" s="10" t="str">
        <f t="shared" si="24"/>
        <v/>
      </c>
      <c r="S76" s="10" t="str">
        <f t="shared" si="25"/>
        <v/>
      </c>
      <c r="T76" s="10" t="str">
        <f t="shared" si="26"/>
        <v/>
      </c>
      <c r="U76" s="11" t="str">
        <f t="shared" si="27"/>
        <v/>
      </c>
      <c r="V76" s="16"/>
    </row>
    <row r="77" spans="1:22" ht="19.5" customHeight="1" x14ac:dyDescent="0.2">
      <c r="A77" s="7" t="s">
        <v>86</v>
      </c>
      <c r="B77" s="8"/>
      <c r="C77" s="8"/>
      <c r="D77" s="8"/>
      <c r="E77" s="9"/>
      <c r="F77" s="9"/>
      <c r="G77" s="9"/>
      <c r="H77" s="10" t="str">
        <f t="shared" si="20"/>
        <v/>
      </c>
      <c r="I77" s="10" t="str">
        <f t="shared" si="21"/>
        <v/>
      </c>
      <c r="J77" s="10" t="str">
        <f t="shared" si="22"/>
        <v/>
      </c>
      <c r="K77" s="11" t="str">
        <f t="shared" si="23"/>
        <v/>
      </c>
      <c r="L77" s="12"/>
      <c r="M77" s="12"/>
      <c r="N77" s="12"/>
      <c r="O77" s="13"/>
      <c r="P77" s="13"/>
      <c r="Q77" s="13"/>
      <c r="R77" s="10" t="str">
        <f t="shared" si="24"/>
        <v/>
      </c>
      <c r="S77" s="10" t="str">
        <f t="shared" si="25"/>
        <v/>
      </c>
      <c r="T77" s="10" t="str">
        <f t="shared" si="26"/>
        <v/>
      </c>
      <c r="U77" s="11" t="str">
        <f t="shared" si="27"/>
        <v/>
      </c>
      <c r="V77" s="14"/>
    </row>
    <row r="78" spans="1:22" ht="19.5" customHeight="1" x14ac:dyDescent="0.2">
      <c r="A78" s="15" t="s">
        <v>87</v>
      </c>
      <c r="B78" s="8"/>
      <c r="C78" s="8"/>
      <c r="D78" s="8"/>
      <c r="E78" s="9"/>
      <c r="F78" s="9"/>
      <c r="G78" s="9"/>
      <c r="H78" s="10" t="str">
        <f t="shared" si="20"/>
        <v/>
      </c>
      <c r="I78" s="10" t="str">
        <f t="shared" si="21"/>
        <v/>
      </c>
      <c r="J78" s="10" t="str">
        <f t="shared" si="22"/>
        <v/>
      </c>
      <c r="K78" s="11" t="str">
        <f t="shared" si="23"/>
        <v/>
      </c>
      <c r="L78" s="12"/>
      <c r="M78" s="12"/>
      <c r="N78" s="12"/>
      <c r="O78" s="13"/>
      <c r="P78" s="13"/>
      <c r="Q78" s="13"/>
      <c r="R78" s="10" t="str">
        <f t="shared" si="24"/>
        <v/>
      </c>
      <c r="S78" s="10" t="str">
        <f t="shared" si="25"/>
        <v/>
      </c>
      <c r="T78" s="10" t="str">
        <f t="shared" si="26"/>
        <v/>
      </c>
      <c r="U78" s="11" t="str">
        <f t="shared" si="27"/>
        <v/>
      </c>
      <c r="V78" s="16"/>
    </row>
    <row r="79" spans="1:22" ht="19.5" customHeight="1" x14ac:dyDescent="0.2">
      <c r="A79" s="7" t="s">
        <v>88</v>
      </c>
      <c r="B79" s="8"/>
      <c r="C79" s="8"/>
      <c r="D79" s="8"/>
      <c r="E79" s="9"/>
      <c r="F79" s="9"/>
      <c r="G79" s="9"/>
      <c r="H79" s="10" t="str">
        <f t="shared" si="20"/>
        <v/>
      </c>
      <c r="I79" s="10" t="str">
        <f t="shared" si="21"/>
        <v/>
      </c>
      <c r="J79" s="10" t="str">
        <f t="shared" si="22"/>
        <v/>
      </c>
      <c r="K79" s="11" t="str">
        <f t="shared" si="23"/>
        <v/>
      </c>
      <c r="L79" s="12"/>
      <c r="M79" s="12"/>
      <c r="N79" s="12"/>
      <c r="O79" s="13"/>
      <c r="P79" s="13"/>
      <c r="Q79" s="13"/>
      <c r="R79" s="10" t="str">
        <f t="shared" si="24"/>
        <v/>
      </c>
      <c r="S79" s="10" t="str">
        <f t="shared" si="25"/>
        <v/>
      </c>
      <c r="T79" s="10" t="str">
        <f t="shared" si="26"/>
        <v/>
      </c>
      <c r="U79" s="11" t="str">
        <f t="shared" si="27"/>
        <v/>
      </c>
      <c r="V79" s="14"/>
    </row>
    <row r="80" spans="1:22" ht="19.5" customHeight="1" x14ac:dyDescent="0.2">
      <c r="A80" s="15" t="s">
        <v>89</v>
      </c>
      <c r="B80" s="8"/>
      <c r="C80" s="8"/>
      <c r="D80" s="8"/>
      <c r="E80" s="9"/>
      <c r="F80" s="9"/>
      <c r="G80" s="9"/>
      <c r="H80" s="10" t="str">
        <f t="shared" si="20"/>
        <v/>
      </c>
      <c r="I80" s="10" t="str">
        <f t="shared" si="21"/>
        <v/>
      </c>
      <c r="J80" s="10" t="str">
        <f t="shared" si="22"/>
        <v/>
      </c>
      <c r="K80" s="11" t="str">
        <f t="shared" si="23"/>
        <v/>
      </c>
      <c r="L80" s="12"/>
      <c r="M80" s="12"/>
      <c r="N80" s="12"/>
      <c r="O80" s="13"/>
      <c r="P80" s="13"/>
      <c r="Q80" s="13"/>
      <c r="R80" s="10" t="str">
        <f t="shared" si="24"/>
        <v/>
      </c>
      <c r="S80" s="10" t="str">
        <f t="shared" si="25"/>
        <v/>
      </c>
      <c r="T80" s="10" t="str">
        <f t="shared" si="26"/>
        <v/>
      </c>
      <c r="U80" s="11" t="str">
        <f t="shared" si="27"/>
        <v/>
      </c>
      <c r="V80" s="16"/>
    </row>
    <row r="81" spans="1:22" ht="19.5" customHeight="1" x14ac:dyDescent="0.2">
      <c r="A81" s="7" t="s">
        <v>90</v>
      </c>
      <c r="B81" s="8"/>
      <c r="C81" s="8"/>
      <c r="D81" s="8"/>
      <c r="E81" s="9"/>
      <c r="F81" s="9"/>
      <c r="G81" s="9"/>
      <c r="H81" s="10" t="str">
        <f t="shared" si="20"/>
        <v/>
      </c>
      <c r="I81" s="10" t="str">
        <f t="shared" si="21"/>
        <v/>
      </c>
      <c r="J81" s="10" t="str">
        <f t="shared" si="22"/>
        <v/>
      </c>
      <c r="K81" s="11" t="str">
        <f t="shared" si="23"/>
        <v/>
      </c>
      <c r="L81" s="12"/>
      <c r="M81" s="12"/>
      <c r="N81" s="12"/>
      <c r="O81" s="13"/>
      <c r="P81" s="13"/>
      <c r="Q81" s="13"/>
      <c r="R81" s="10" t="str">
        <f t="shared" si="24"/>
        <v/>
      </c>
      <c r="S81" s="10" t="str">
        <f t="shared" si="25"/>
        <v/>
      </c>
      <c r="T81" s="10" t="str">
        <f t="shared" si="26"/>
        <v/>
      </c>
      <c r="U81" s="11" t="str">
        <f t="shared" si="27"/>
        <v/>
      </c>
      <c r="V81" s="14"/>
    </row>
    <row r="82" spans="1:22" ht="19.5" customHeight="1" x14ac:dyDescent="0.2">
      <c r="A82" s="15" t="s">
        <v>91</v>
      </c>
      <c r="B82" s="8"/>
      <c r="C82" s="8"/>
      <c r="D82" s="8"/>
      <c r="E82" s="9"/>
      <c r="F82" s="9"/>
      <c r="G82" s="9"/>
      <c r="H82" s="10" t="str">
        <f t="shared" si="20"/>
        <v/>
      </c>
      <c r="I82" s="10" t="str">
        <f t="shared" si="21"/>
        <v/>
      </c>
      <c r="J82" s="10" t="str">
        <f t="shared" si="22"/>
        <v/>
      </c>
      <c r="K82" s="11" t="str">
        <f t="shared" si="23"/>
        <v/>
      </c>
      <c r="L82" s="12"/>
      <c r="M82" s="12"/>
      <c r="N82" s="12"/>
      <c r="O82" s="13"/>
      <c r="P82" s="13"/>
      <c r="Q82" s="13"/>
      <c r="R82" s="10" t="str">
        <f t="shared" si="24"/>
        <v/>
      </c>
      <c r="S82" s="10" t="str">
        <f t="shared" si="25"/>
        <v/>
      </c>
      <c r="T82" s="10" t="str">
        <f t="shared" si="26"/>
        <v/>
      </c>
      <c r="U82" s="11" t="str">
        <f t="shared" si="27"/>
        <v/>
      </c>
      <c r="V82" s="16"/>
    </row>
    <row r="83" spans="1:22" ht="19.5" customHeight="1" x14ac:dyDescent="0.2">
      <c r="A83" s="7" t="s">
        <v>92</v>
      </c>
      <c r="B83" s="8"/>
      <c r="C83" s="8"/>
      <c r="D83" s="8"/>
      <c r="E83" s="9"/>
      <c r="F83" s="9"/>
      <c r="G83" s="9"/>
      <c r="H83" s="10" t="str">
        <f t="shared" si="20"/>
        <v/>
      </c>
      <c r="I83" s="10" t="str">
        <f t="shared" si="21"/>
        <v/>
      </c>
      <c r="J83" s="10" t="str">
        <f t="shared" si="22"/>
        <v/>
      </c>
      <c r="K83" s="11" t="str">
        <f t="shared" si="23"/>
        <v/>
      </c>
      <c r="L83" s="12"/>
      <c r="M83" s="12"/>
      <c r="N83" s="12"/>
      <c r="O83" s="13"/>
      <c r="P83" s="13"/>
      <c r="Q83" s="13"/>
      <c r="R83" s="10" t="str">
        <f t="shared" si="24"/>
        <v/>
      </c>
      <c r="S83" s="10" t="str">
        <f t="shared" si="25"/>
        <v/>
      </c>
      <c r="T83" s="10" t="str">
        <f t="shared" si="26"/>
        <v/>
      </c>
      <c r="U83" s="11" t="str">
        <f t="shared" si="27"/>
        <v/>
      </c>
      <c r="V83" s="14"/>
    </row>
    <row r="84" spans="1:22" ht="19.5" customHeight="1" x14ac:dyDescent="0.2">
      <c r="A84" s="15" t="s">
        <v>93</v>
      </c>
      <c r="B84" s="8"/>
      <c r="C84" s="8"/>
      <c r="D84" s="8"/>
      <c r="E84" s="9"/>
      <c r="F84" s="9"/>
      <c r="G84" s="9"/>
      <c r="H84" s="10" t="str">
        <f t="shared" si="20"/>
        <v/>
      </c>
      <c r="I84" s="10" t="str">
        <f t="shared" si="21"/>
        <v/>
      </c>
      <c r="J84" s="10" t="str">
        <f t="shared" si="22"/>
        <v/>
      </c>
      <c r="K84" s="11" t="str">
        <f t="shared" si="23"/>
        <v/>
      </c>
      <c r="L84" s="12"/>
      <c r="M84" s="12"/>
      <c r="N84" s="12"/>
      <c r="O84" s="13"/>
      <c r="P84" s="13"/>
      <c r="Q84" s="13"/>
      <c r="R84" s="10" t="str">
        <f t="shared" si="24"/>
        <v/>
      </c>
      <c r="S84" s="10" t="str">
        <f t="shared" si="25"/>
        <v/>
      </c>
      <c r="T84" s="10" t="str">
        <f t="shared" si="26"/>
        <v/>
      </c>
      <c r="U84" s="11" t="str">
        <f t="shared" si="27"/>
        <v/>
      </c>
      <c r="V84" s="16"/>
    </row>
    <row r="85" spans="1:22" ht="19.5" customHeight="1" x14ac:dyDescent="0.2">
      <c r="A85" s="7" t="s">
        <v>94</v>
      </c>
      <c r="B85" s="8"/>
      <c r="C85" s="8"/>
      <c r="D85" s="8"/>
      <c r="E85" s="9"/>
      <c r="F85" s="9"/>
      <c r="G85" s="9"/>
      <c r="H85" s="10" t="str">
        <f t="shared" si="20"/>
        <v/>
      </c>
      <c r="I85" s="10" t="str">
        <f t="shared" si="21"/>
        <v/>
      </c>
      <c r="J85" s="10" t="str">
        <f t="shared" si="22"/>
        <v/>
      </c>
      <c r="K85" s="11" t="str">
        <f t="shared" si="23"/>
        <v/>
      </c>
      <c r="L85" s="12"/>
      <c r="M85" s="12"/>
      <c r="N85" s="12"/>
      <c r="O85" s="13"/>
      <c r="P85" s="13"/>
      <c r="Q85" s="13"/>
      <c r="R85" s="10" t="str">
        <f t="shared" si="24"/>
        <v/>
      </c>
      <c r="S85" s="10" t="str">
        <f t="shared" si="25"/>
        <v/>
      </c>
      <c r="T85" s="10" t="str">
        <f t="shared" si="26"/>
        <v/>
      </c>
      <c r="U85" s="11" t="str">
        <f t="shared" si="27"/>
        <v/>
      </c>
      <c r="V85" s="14"/>
    </row>
    <row r="86" spans="1:22" ht="19.5" customHeight="1" x14ac:dyDescent="0.2">
      <c r="A86" s="15" t="s">
        <v>95</v>
      </c>
      <c r="B86" s="8"/>
      <c r="C86" s="8"/>
      <c r="D86" s="8"/>
      <c r="E86" s="9"/>
      <c r="F86" s="9"/>
      <c r="G86" s="9"/>
      <c r="H86" s="10" t="str">
        <f t="shared" si="20"/>
        <v/>
      </c>
      <c r="I86" s="10" t="str">
        <f t="shared" si="21"/>
        <v/>
      </c>
      <c r="J86" s="10" t="str">
        <f t="shared" si="22"/>
        <v/>
      </c>
      <c r="K86" s="11" t="str">
        <f t="shared" si="23"/>
        <v/>
      </c>
      <c r="L86" s="12"/>
      <c r="M86" s="12"/>
      <c r="N86" s="12"/>
      <c r="O86" s="13"/>
      <c r="P86" s="13"/>
      <c r="Q86" s="13"/>
      <c r="R86" s="10" t="str">
        <f t="shared" si="24"/>
        <v/>
      </c>
      <c r="S86" s="10" t="str">
        <f t="shared" si="25"/>
        <v/>
      </c>
      <c r="T86" s="10" t="str">
        <f t="shared" si="26"/>
        <v/>
      </c>
      <c r="U86" s="11" t="str">
        <f t="shared" si="27"/>
        <v/>
      </c>
      <c r="V86" s="16"/>
    </row>
    <row r="87" spans="1:22" ht="19.5" customHeight="1" x14ac:dyDescent="0.2">
      <c r="A87" s="7" t="s">
        <v>96</v>
      </c>
      <c r="B87" s="8"/>
      <c r="C87" s="8"/>
      <c r="D87" s="8"/>
      <c r="E87" s="9"/>
      <c r="F87" s="9"/>
      <c r="G87" s="9"/>
      <c r="H87" s="10" t="str">
        <f t="shared" si="20"/>
        <v/>
      </c>
      <c r="I87" s="10" t="str">
        <f t="shared" si="21"/>
        <v/>
      </c>
      <c r="J87" s="10" t="str">
        <f t="shared" si="22"/>
        <v/>
      </c>
      <c r="K87" s="11" t="str">
        <f t="shared" si="23"/>
        <v/>
      </c>
      <c r="L87" s="12"/>
      <c r="M87" s="12"/>
      <c r="N87" s="12"/>
      <c r="O87" s="13"/>
      <c r="P87" s="13"/>
      <c r="Q87" s="13"/>
      <c r="R87" s="10" t="str">
        <f t="shared" si="24"/>
        <v/>
      </c>
      <c r="S87" s="10" t="str">
        <f t="shared" si="25"/>
        <v/>
      </c>
      <c r="T87" s="10" t="str">
        <f t="shared" si="26"/>
        <v/>
      </c>
      <c r="U87" s="11" t="str">
        <f t="shared" si="27"/>
        <v/>
      </c>
      <c r="V87" s="14"/>
    </row>
    <row r="88" spans="1:22" ht="19.5" customHeight="1" x14ac:dyDescent="0.2">
      <c r="A88" s="15" t="s">
        <v>97</v>
      </c>
      <c r="B88" s="8"/>
      <c r="C88" s="8"/>
      <c r="D88" s="8"/>
      <c r="E88" s="9"/>
      <c r="F88" s="9"/>
      <c r="G88" s="9"/>
      <c r="H88" s="10" t="str">
        <f t="shared" si="20"/>
        <v/>
      </c>
      <c r="I88" s="10" t="str">
        <f t="shared" si="21"/>
        <v/>
      </c>
      <c r="J88" s="10" t="str">
        <f t="shared" si="22"/>
        <v/>
      </c>
      <c r="K88" s="11" t="str">
        <f t="shared" si="23"/>
        <v/>
      </c>
      <c r="L88" s="12"/>
      <c r="M88" s="12"/>
      <c r="N88" s="12"/>
      <c r="O88" s="13"/>
      <c r="P88" s="13"/>
      <c r="Q88" s="13"/>
      <c r="R88" s="10" t="str">
        <f t="shared" si="24"/>
        <v/>
      </c>
      <c r="S88" s="10" t="str">
        <f t="shared" si="25"/>
        <v/>
      </c>
      <c r="T88" s="10" t="str">
        <f t="shared" si="26"/>
        <v/>
      </c>
      <c r="U88" s="11" t="str">
        <f t="shared" si="27"/>
        <v/>
      </c>
      <c r="V88" s="16"/>
    </row>
    <row r="89" spans="1:22" ht="19.5" customHeight="1" x14ac:dyDescent="0.2">
      <c r="A89" s="7" t="s">
        <v>98</v>
      </c>
      <c r="B89" s="8"/>
      <c r="C89" s="8"/>
      <c r="D89" s="8"/>
      <c r="E89" s="9"/>
      <c r="F89" s="9"/>
      <c r="G89" s="9"/>
      <c r="H89" s="10" t="str">
        <f t="shared" si="20"/>
        <v/>
      </c>
      <c r="I89" s="10" t="str">
        <f t="shared" si="21"/>
        <v/>
      </c>
      <c r="J89" s="10" t="str">
        <f t="shared" si="22"/>
        <v/>
      </c>
      <c r="K89" s="11" t="str">
        <f t="shared" si="23"/>
        <v/>
      </c>
      <c r="L89" s="12"/>
      <c r="M89" s="12"/>
      <c r="N89" s="12"/>
      <c r="O89" s="13"/>
      <c r="P89" s="13"/>
      <c r="Q89" s="13"/>
      <c r="R89" s="10" t="str">
        <f t="shared" si="24"/>
        <v/>
      </c>
      <c r="S89" s="10" t="str">
        <f t="shared" si="25"/>
        <v/>
      </c>
      <c r="T89" s="10" t="str">
        <f t="shared" si="26"/>
        <v/>
      </c>
      <c r="U89" s="11" t="str">
        <f t="shared" si="27"/>
        <v/>
      </c>
      <c r="V89" s="14"/>
    </row>
    <row r="90" spans="1:22" ht="19.5" customHeight="1" x14ac:dyDescent="0.2">
      <c r="A90" s="15" t="s">
        <v>99</v>
      </c>
      <c r="B90" s="8"/>
      <c r="C90" s="8"/>
      <c r="D90" s="8"/>
      <c r="E90" s="9"/>
      <c r="F90" s="9"/>
      <c r="G90" s="9"/>
      <c r="H90" s="10" t="str">
        <f t="shared" si="20"/>
        <v/>
      </c>
      <c r="I90" s="10" t="str">
        <f t="shared" si="21"/>
        <v/>
      </c>
      <c r="J90" s="10" t="str">
        <f t="shared" si="22"/>
        <v/>
      </c>
      <c r="K90" s="11" t="str">
        <f t="shared" si="23"/>
        <v/>
      </c>
      <c r="L90" s="12"/>
      <c r="M90" s="12"/>
      <c r="N90" s="12"/>
      <c r="O90" s="13"/>
      <c r="P90" s="13"/>
      <c r="Q90" s="13"/>
      <c r="R90" s="10" t="str">
        <f t="shared" si="24"/>
        <v/>
      </c>
      <c r="S90" s="10" t="str">
        <f t="shared" si="25"/>
        <v/>
      </c>
      <c r="T90" s="10" t="str">
        <f t="shared" si="26"/>
        <v/>
      </c>
      <c r="U90" s="11" t="str">
        <f t="shared" si="27"/>
        <v/>
      </c>
      <c r="V90" s="16"/>
    </row>
    <row r="91" spans="1:22" ht="19.5" customHeight="1" x14ac:dyDescent="0.2">
      <c r="A91" s="7" t="s">
        <v>100</v>
      </c>
      <c r="B91" s="8"/>
      <c r="C91" s="8"/>
      <c r="D91" s="8"/>
      <c r="E91" s="9"/>
      <c r="F91" s="9"/>
      <c r="G91" s="9"/>
      <c r="H91" s="10" t="str">
        <f t="shared" si="20"/>
        <v/>
      </c>
      <c r="I91" s="10" t="str">
        <f t="shared" si="21"/>
        <v/>
      </c>
      <c r="J91" s="10" t="str">
        <f t="shared" si="22"/>
        <v/>
      </c>
      <c r="K91" s="11" t="str">
        <f t="shared" si="23"/>
        <v/>
      </c>
      <c r="L91" s="12"/>
      <c r="M91" s="12"/>
      <c r="N91" s="12"/>
      <c r="O91" s="13"/>
      <c r="P91" s="13"/>
      <c r="Q91" s="13"/>
      <c r="R91" s="10" t="str">
        <f t="shared" si="24"/>
        <v/>
      </c>
      <c r="S91" s="10" t="str">
        <f t="shared" si="25"/>
        <v/>
      </c>
      <c r="T91" s="10" t="str">
        <f t="shared" si="26"/>
        <v/>
      </c>
      <c r="U91" s="11" t="str">
        <f t="shared" si="27"/>
        <v/>
      </c>
      <c r="V91" s="14"/>
    </row>
    <row r="92" spans="1:22" ht="19.5" customHeight="1" x14ac:dyDescent="0.2">
      <c r="A92" s="15" t="s">
        <v>101</v>
      </c>
      <c r="B92" s="8"/>
      <c r="C92" s="8"/>
      <c r="D92" s="8"/>
      <c r="E92" s="9"/>
      <c r="F92" s="9"/>
      <c r="G92" s="9"/>
      <c r="H92" s="10" t="str">
        <f t="shared" si="20"/>
        <v/>
      </c>
      <c r="I92" s="10" t="str">
        <f t="shared" si="21"/>
        <v/>
      </c>
      <c r="J92" s="10" t="str">
        <f t="shared" si="22"/>
        <v/>
      </c>
      <c r="K92" s="11" t="str">
        <f t="shared" si="23"/>
        <v/>
      </c>
      <c r="L92" s="12"/>
      <c r="M92" s="12"/>
      <c r="N92" s="12"/>
      <c r="O92" s="13"/>
      <c r="P92" s="13"/>
      <c r="Q92" s="13"/>
      <c r="R92" s="10" t="str">
        <f t="shared" si="24"/>
        <v/>
      </c>
      <c r="S92" s="10" t="str">
        <f t="shared" si="25"/>
        <v/>
      </c>
      <c r="T92" s="10" t="str">
        <f t="shared" si="26"/>
        <v/>
      </c>
      <c r="U92" s="11" t="str">
        <f t="shared" si="27"/>
        <v/>
      </c>
      <c r="V92" s="16"/>
    </row>
    <row r="93" spans="1:22" ht="19.5" customHeight="1" x14ac:dyDescent="0.2">
      <c r="A93" s="7" t="s">
        <v>102</v>
      </c>
      <c r="B93" s="8"/>
      <c r="C93" s="8"/>
      <c r="D93" s="8"/>
      <c r="E93" s="9"/>
      <c r="F93" s="9"/>
      <c r="G93" s="9"/>
      <c r="H93" s="10" t="str">
        <f t="shared" si="20"/>
        <v/>
      </c>
      <c r="I93" s="10" t="str">
        <f t="shared" si="21"/>
        <v/>
      </c>
      <c r="J93" s="10" t="str">
        <f t="shared" si="22"/>
        <v/>
      </c>
      <c r="K93" s="11" t="str">
        <f t="shared" si="23"/>
        <v/>
      </c>
      <c r="L93" s="12"/>
      <c r="M93" s="12"/>
      <c r="N93" s="12"/>
      <c r="O93" s="13"/>
      <c r="P93" s="13"/>
      <c r="Q93" s="13"/>
      <c r="R93" s="10" t="str">
        <f t="shared" si="24"/>
        <v/>
      </c>
      <c r="S93" s="10" t="str">
        <f t="shared" si="25"/>
        <v/>
      </c>
      <c r="T93" s="10" t="str">
        <f t="shared" si="26"/>
        <v/>
      </c>
      <c r="U93" s="11" t="str">
        <f t="shared" si="27"/>
        <v/>
      </c>
      <c r="V93" s="14"/>
    </row>
    <row r="94" spans="1:22" ht="19.5" customHeight="1" x14ac:dyDescent="0.2">
      <c r="A94" s="15" t="s">
        <v>103</v>
      </c>
      <c r="B94" s="8"/>
      <c r="C94" s="8"/>
      <c r="D94" s="8"/>
      <c r="E94" s="9"/>
      <c r="F94" s="9"/>
      <c r="G94" s="9"/>
      <c r="H94" s="10" t="str">
        <f t="shared" si="20"/>
        <v/>
      </c>
      <c r="I94" s="10" t="str">
        <f t="shared" si="21"/>
        <v/>
      </c>
      <c r="J94" s="10" t="str">
        <f t="shared" si="22"/>
        <v/>
      </c>
      <c r="K94" s="11" t="str">
        <f t="shared" si="23"/>
        <v/>
      </c>
      <c r="L94" s="12"/>
      <c r="M94" s="12"/>
      <c r="N94" s="12"/>
      <c r="O94" s="13"/>
      <c r="P94" s="13"/>
      <c r="Q94" s="13"/>
      <c r="R94" s="10" t="str">
        <f t="shared" si="24"/>
        <v/>
      </c>
      <c r="S94" s="10" t="str">
        <f t="shared" si="25"/>
        <v/>
      </c>
      <c r="T94" s="10" t="str">
        <f t="shared" si="26"/>
        <v/>
      </c>
      <c r="U94" s="11" t="str">
        <f t="shared" si="27"/>
        <v/>
      </c>
      <c r="V94" s="16"/>
    </row>
  </sheetData>
  <mergeCells count="11">
    <mergeCell ref="A1:V1"/>
    <mergeCell ref="A3:A4"/>
    <mergeCell ref="B3:D3"/>
    <mergeCell ref="E3:G3"/>
    <mergeCell ref="H3:J3"/>
    <mergeCell ref="K3:K4"/>
    <mergeCell ref="L3:N3"/>
    <mergeCell ref="O3:Q3"/>
    <mergeCell ref="R3:T3"/>
    <mergeCell ref="U3:U4"/>
    <mergeCell ref="V3:V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showGridLines="0" zoomScaleNormal="100" workbookViewId="0"/>
  </sheetViews>
  <sheetFormatPr baseColWidth="10" defaultColWidth="8.6640625" defaultRowHeight="15" x14ac:dyDescent="0.2"/>
  <cols>
    <col min="1" max="1" width="20" customWidth="1"/>
    <col min="2" max="3" width="14" customWidth="1"/>
    <col min="4" max="4" width="24" customWidth="1"/>
    <col min="5" max="5" width="10" customWidth="1"/>
  </cols>
  <sheetData>
    <row r="1" spans="1:5" ht="33.75" customHeight="1" x14ac:dyDescent="0.2">
      <c r="A1" s="35" t="s">
        <v>104</v>
      </c>
      <c r="B1" s="35"/>
      <c r="C1" s="35"/>
      <c r="D1" s="35"/>
      <c r="E1" s="35"/>
    </row>
    <row r="2" spans="1:5" ht="7.5" customHeight="1" x14ac:dyDescent="0.2"/>
    <row r="3" spans="1:5" ht="25.5" customHeight="1" x14ac:dyDescent="0.2">
      <c r="A3" s="36" t="s">
        <v>105</v>
      </c>
      <c r="B3" s="36"/>
      <c r="C3" s="36"/>
      <c r="D3" s="36"/>
      <c r="E3" s="36"/>
    </row>
    <row r="4" spans="1:5" ht="24" customHeight="1" x14ac:dyDescent="0.2">
      <c r="A4" s="17" t="s">
        <v>106</v>
      </c>
      <c r="B4" s="17" t="s">
        <v>107</v>
      </c>
      <c r="C4" s="17" t="s">
        <v>108</v>
      </c>
      <c r="D4" s="17" t="s">
        <v>109</v>
      </c>
      <c r="E4" s="17" t="s">
        <v>110</v>
      </c>
    </row>
    <row r="5" spans="1:5" ht="21.75" customHeight="1" x14ac:dyDescent="0.2">
      <c r="A5" s="18" t="s">
        <v>111</v>
      </c>
      <c r="B5" s="19">
        <f>IFERROR(AVERAGEIF('Denní log'!H5:H94,"&lt;&gt;",'Denní log'!H5:H94),"-")</f>
        <v>123.23333333333333</v>
      </c>
      <c r="C5" s="19">
        <f>IFERROR(AVERAGEIF('Denní log'!I5:I94,"&lt;&gt;",'Denní log'!I5:I94),"-")</f>
        <v>77.933333333333337</v>
      </c>
      <c r="D5" s="19">
        <f>IFERROR(AVERAGEIF('Denní log'!J5:J94,"&lt;&gt;",'Denní log'!J5:J94),"-")</f>
        <v>55.733333333333334</v>
      </c>
      <c r="E5" s="20">
        <f>COUNTIF('Denní log'!H5:H94,"&lt;&gt;"&amp;"")</f>
        <v>90</v>
      </c>
    </row>
    <row r="6" spans="1:5" ht="21.75" customHeight="1" x14ac:dyDescent="0.2">
      <c r="A6" s="21" t="s">
        <v>112</v>
      </c>
      <c r="B6" s="19" t="str">
        <f ca="1">IFERROR(_xludf.minifs('Denní log'!H5:H94,'Denní log'!H5:H94,"&lt;&gt;"),"-")</f>
        <v>-</v>
      </c>
      <c r="C6" s="19" t="str">
        <f ca="1">IFERROR(_xludf.minifs('Denní log'!I5:I94,'Denní log'!I5:I94,"&lt;&gt;"),"-")</f>
        <v>-</v>
      </c>
      <c r="D6" s="19" t="str">
        <f ca="1">IFERROR(_xludf.minifs('Denní log'!J5:J94,'Denní log'!J5:J94,"&lt;&gt;"),"-")</f>
        <v>-</v>
      </c>
      <c r="E6" s="20"/>
    </row>
    <row r="7" spans="1:5" ht="21.75" customHeight="1" x14ac:dyDescent="0.2">
      <c r="A7" s="18" t="s">
        <v>113</v>
      </c>
      <c r="B7" s="19" t="str">
        <f ca="1">IFERROR(_xludf.maxifs('Denní log'!H5:H94,'Denní log'!H5:H94,"&lt;&gt;"),"-")</f>
        <v>-</v>
      </c>
      <c r="C7" s="19" t="str">
        <f ca="1">IFERROR(_xludf.maxifs('Denní log'!I5:I94,'Denní log'!I5:I94,"&lt;&gt;"),"-")</f>
        <v>-</v>
      </c>
      <c r="D7" s="19" t="str">
        <f ca="1">IFERROR(_xludf.maxifs('Denní log'!J5:J94,'Denní log'!J5:J94,"&lt;&gt;"),"-")</f>
        <v>-</v>
      </c>
      <c r="E7" s="20"/>
    </row>
    <row r="8" spans="1:5" ht="21.75" customHeight="1" x14ac:dyDescent="0.2">
      <c r="A8" s="21" t="s">
        <v>114</v>
      </c>
      <c r="B8" s="19">
        <f>IFERROR(LOOKUP(2,1/('Denní log'!H5:H94&lt;&gt;""),'Denní log'!H5:H94),"-")</f>
        <v>118.5</v>
      </c>
      <c r="C8" s="19">
        <f>IFERROR(LOOKUP(2,1/('Denní log'!I5:I94&lt;&gt;""),'Denní log'!I5:I94),"-")</f>
        <v>74</v>
      </c>
      <c r="D8" s="19">
        <f>IFERROR(LOOKUP(2,1/('Denní log'!J5:J94&lt;&gt;""),'Denní log'!J5:J94),"-")</f>
        <v>54</v>
      </c>
      <c r="E8" s="20"/>
    </row>
    <row r="9" spans="1:5" ht="9.75" customHeight="1" x14ac:dyDescent="0.2"/>
    <row r="10" spans="1:5" ht="25.5" customHeight="1" x14ac:dyDescent="0.2">
      <c r="A10" s="37" t="s">
        <v>115</v>
      </c>
      <c r="B10" s="37"/>
      <c r="C10" s="37"/>
      <c r="D10" s="37"/>
      <c r="E10" s="37"/>
    </row>
    <row r="11" spans="1:5" ht="24" customHeight="1" x14ac:dyDescent="0.2">
      <c r="A11" s="17" t="s">
        <v>106</v>
      </c>
      <c r="B11" s="17" t="s">
        <v>107</v>
      </c>
      <c r="C11" s="17" t="s">
        <v>108</v>
      </c>
      <c r="D11" s="17" t="s">
        <v>109</v>
      </c>
      <c r="E11" s="17" t="s">
        <v>110</v>
      </c>
    </row>
    <row r="12" spans="1:5" ht="21.75" customHeight="1" x14ac:dyDescent="0.2">
      <c r="A12" s="18" t="s">
        <v>111</v>
      </c>
      <c r="B12" s="19">
        <f>IFERROR(AVERAGEIF('Denní log'!R5:R94,"&lt;&gt;",'Denní log'!R5:R94),"-")</f>
        <v>124.75</v>
      </c>
      <c r="C12" s="19">
        <f>IFERROR(AVERAGEIF('Denní log'!S5:S94,"&lt;&gt;",'Denní log'!S5:S94),"-")</f>
        <v>75.214285714285708</v>
      </c>
      <c r="D12" s="19">
        <f>IFERROR(AVERAGEIF('Denní log'!T5:T94,"&lt;&gt;",'Denní log'!T5:T94),"-")</f>
        <v>56.642857142857146</v>
      </c>
      <c r="E12" s="20">
        <f>COUNTIF('Denní log'!R5:R94,"&lt;&gt;"&amp;"")</f>
        <v>90</v>
      </c>
    </row>
    <row r="13" spans="1:5" ht="21.75" customHeight="1" x14ac:dyDescent="0.2">
      <c r="A13" s="21" t="s">
        <v>112</v>
      </c>
      <c r="B13" s="19" t="str">
        <f ca="1">IFERROR(_xludf.minifs('Denní log'!R5:R94,'Denní log'!R5:R94,"&lt;&gt;"),"-")</f>
        <v>-</v>
      </c>
      <c r="C13" s="19" t="str">
        <f ca="1">IFERROR(_xludf.minifs('Denní log'!S5:S94,'Denní log'!S5:S94,"&lt;&gt;"),"-")</f>
        <v>-</v>
      </c>
      <c r="D13" s="19" t="str">
        <f ca="1">IFERROR(_xludf.minifs('Denní log'!T5:T94,'Denní log'!T5:T94,"&lt;&gt;"),"-")</f>
        <v>-</v>
      </c>
      <c r="E13" s="20"/>
    </row>
    <row r="14" spans="1:5" ht="21.75" customHeight="1" x14ac:dyDescent="0.2">
      <c r="A14" s="18" t="s">
        <v>113</v>
      </c>
      <c r="B14" s="19" t="str">
        <f ca="1">IFERROR(_xludf.maxifs('Denní log'!R5:R94,'Denní log'!R5:R94,"&lt;&gt;"),"-")</f>
        <v>-</v>
      </c>
      <c r="C14" s="19" t="str">
        <f ca="1">IFERROR(_xludf.maxifs('Denní log'!S5:S94,'Denní log'!S5:S94,"&lt;&gt;"),"-")</f>
        <v>-</v>
      </c>
      <c r="D14" s="19" t="str">
        <f ca="1">IFERROR(_xludf.maxifs('Denní log'!T5:T94,'Denní log'!T5:T94,"&lt;&gt;"),"-")</f>
        <v>-</v>
      </c>
      <c r="E14" s="20"/>
    </row>
    <row r="15" spans="1:5" ht="21.75" customHeight="1" x14ac:dyDescent="0.2">
      <c r="A15" s="21" t="s">
        <v>114</v>
      </c>
      <c r="B15" s="19">
        <f>IFERROR(LOOKUP(2,1/('Denní log'!R5:R94&lt;&gt;""),'Denní log'!R5:R94),"-")</f>
        <v>123</v>
      </c>
      <c r="C15" s="19">
        <f>IFERROR(LOOKUP(2,1/('Denní log'!S5:S94&lt;&gt;""),'Denní log'!S5:S94),"-")</f>
        <v>75</v>
      </c>
      <c r="D15" s="19">
        <f>IFERROR(LOOKUP(2,1/('Denní log'!T5:T94&lt;&gt;""),'Denní log'!T5:T94),"-")</f>
        <v>62.5</v>
      </c>
      <c r="E15" s="20"/>
    </row>
    <row r="17" spans="1:5" ht="9.75" customHeight="1" x14ac:dyDescent="0.2"/>
    <row r="18" spans="1:5" ht="24" customHeight="1" x14ac:dyDescent="0.2">
      <c r="A18" s="38" t="s">
        <v>116</v>
      </c>
      <c r="B18" s="38"/>
      <c r="C18" s="38"/>
      <c r="D18" s="38"/>
      <c r="E18" s="38"/>
    </row>
    <row r="19" spans="1:5" ht="21.75" customHeight="1" x14ac:dyDescent="0.2">
      <c r="A19" s="17" t="s">
        <v>117</v>
      </c>
      <c r="B19" s="17" t="s">
        <v>118</v>
      </c>
      <c r="C19" s="17" t="s">
        <v>119</v>
      </c>
      <c r="D19" s="17" t="s">
        <v>120</v>
      </c>
      <c r="E19" s="17" t="s">
        <v>121</v>
      </c>
    </row>
    <row r="20" spans="1:5" ht="19.5" customHeight="1" x14ac:dyDescent="0.2">
      <c r="A20" s="22" t="s">
        <v>122</v>
      </c>
      <c r="B20" s="22" t="s">
        <v>123</v>
      </c>
      <c r="C20" s="22" t="s">
        <v>124</v>
      </c>
      <c r="D20" s="22" t="s">
        <v>125</v>
      </c>
      <c r="E20" s="22" t="s">
        <v>126</v>
      </c>
    </row>
    <row r="21" spans="1:5" ht="19.5" customHeight="1" x14ac:dyDescent="0.2">
      <c r="A21" s="23" t="s">
        <v>127</v>
      </c>
      <c r="B21" s="23" t="s">
        <v>128</v>
      </c>
      <c r="C21" s="23" t="s">
        <v>124</v>
      </c>
      <c r="D21" s="23" t="s">
        <v>129</v>
      </c>
      <c r="E21" s="23" t="s">
        <v>130</v>
      </c>
    </row>
    <row r="22" spans="1:5" ht="19.5" customHeight="1" x14ac:dyDescent="0.2">
      <c r="A22" s="22" t="s">
        <v>131</v>
      </c>
      <c r="B22" s="22" t="s">
        <v>132</v>
      </c>
      <c r="C22" s="22" t="s">
        <v>133</v>
      </c>
      <c r="D22" s="22" t="s">
        <v>134</v>
      </c>
      <c r="E22" s="22" t="s">
        <v>135</v>
      </c>
    </row>
    <row r="23" spans="1:5" ht="19.5" customHeight="1" x14ac:dyDescent="0.2">
      <c r="A23" s="23" t="s">
        <v>136</v>
      </c>
      <c r="B23" s="23" t="s">
        <v>137</v>
      </c>
      <c r="C23" s="23" t="s">
        <v>138</v>
      </c>
      <c r="D23" s="23" t="s">
        <v>139</v>
      </c>
      <c r="E23" s="23" t="s">
        <v>140</v>
      </c>
    </row>
    <row r="24" spans="1:5" ht="19.5" customHeight="1" x14ac:dyDescent="0.2">
      <c r="A24" s="22" t="s">
        <v>141</v>
      </c>
      <c r="B24" s="22" t="s">
        <v>142</v>
      </c>
      <c r="C24" s="22" t="s">
        <v>143</v>
      </c>
      <c r="D24" s="22" t="s">
        <v>144</v>
      </c>
      <c r="E24" s="22" t="s">
        <v>145</v>
      </c>
    </row>
  </sheetData>
  <mergeCells count="4">
    <mergeCell ref="A1:E1"/>
    <mergeCell ref="A3:E3"/>
    <mergeCell ref="A10:E10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"/>
  <sheetViews>
    <sheetView showGridLines="0" zoomScaleNormal="100" workbookViewId="0"/>
  </sheetViews>
  <sheetFormatPr baseColWidth="10" defaultColWidth="8.6640625" defaultRowHeight="15" x14ac:dyDescent="0.2"/>
  <sheetData>
    <row r="1" spans="1:13" ht="33.75" customHeight="1" x14ac:dyDescent="0.2">
      <c r="A1" s="35" t="s">
        <v>146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Denní log</vt:lpstr>
      <vt:lpstr>Statistiky</vt:lpstr>
      <vt:lpstr>Graf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Pavel Hlousek</cp:lastModifiedBy>
  <cp:revision>1</cp:revision>
  <dcterms:created xsi:type="dcterms:W3CDTF">2026-05-20T19:12:34Z</dcterms:created>
  <dcterms:modified xsi:type="dcterms:W3CDTF">2026-06-06T05:41:17Z</dcterms:modified>
  <dc:language>en-US</dc:language>
</cp:coreProperties>
</file>